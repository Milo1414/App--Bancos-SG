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nc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<sst xmlns="http://schemas.openxmlformats.org/spreadsheetml/2006/main" count="733" uniqueCount="77">
  <si>
    <t xml:space="preserve">Nro de Mes</t>
  </si>
  <si>
    <t xml:space="preserve">Fecha</t>
  </si>
  <si>
    <t xml:space="preserve">Descripcion</t>
  </si>
  <si>
    <t xml:space="preserve">Debito</t>
  </si>
  <si>
    <t xml:space="preserve">Credito</t>
  </si>
  <si>
    <t xml:space="preserve">SALDO</t>
  </si>
  <si>
    <t xml:space="preserve">Saldo calculado</t>
  </si>
  <si>
    <t xml:space="preserve">Diferencia</t>
  </si>
  <si>
    <t xml:space="preserve">SALDO INICIAL</t>
  </si>
  <si>
    <t xml:space="preserve">02/05/2024</t>
  </si>
  <si>
    <t xml:space="preserve">DEB.X INTE.SDO.DEUDO</t>
  </si>
  <si>
    <t xml:space="preserve">DEB SELLADO ADEL CC</t>
  </si>
  <si>
    <t xml:space="preserve">IVA *INTERESES*</t>
  </si>
  <si>
    <t xml:space="preserve">IMP.S/OPER.DEBITOS</t>
  </si>
  <si>
    <t xml:space="preserve">IMP.S/OPER.CREDITOS</t>
  </si>
  <si>
    <t xml:space="preserve">CREDITO PROVEEDOR TA</t>
  </si>
  <si>
    <t xml:space="preserve">RECAUDACION SIRCREB</t>
  </si>
  <si>
    <t xml:space="preserve">06/05/2024</t>
  </si>
  <si>
    <t xml:space="preserve">CH.CAM.RECIB.ACH.ECH</t>
  </si>
  <si>
    <t xml:space="preserve">10/05/2024</t>
  </si>
  <si>
    <t xml:space="preserve">DEB.TRANS.BANCON JUD</t>
  </si>
  <si>
    <t xml:space="preserve">22/05/2024</t>
  </si>
  <si>
    <t xml:space="preserve">28/05/2024</t>
  </si>
  <si>
    <t xml:space="preserve">TRANSF.HB.EXENTO</t>
  </si>
  <si>
    <t xml:space="preserve">29/05/2024</t>
  </si>
  <si>
    <t xml:space="preserve">DEPOSITO EFECTIVO</t>
  </si>
  <si>
    <t xml:space="preserve">31/05/2024</t>
  </si>
  <si>
    <t xml:space="preserve">IVA PERCEPC.RG</t>
  </si>
  <si>
    <t xml:space="preserve">IVA 21% *COMISIONES*</t>
  </si>
  <si>
    <t xml:space="preserve">GTO.MAN./COM.VARIAS</t>
  </si>
  <si>
    <t xml:space="preserve">03/06/2024</t>
  </si>
  <si>
    <t xml:space="preserve">05/06/2024</t>
  </si>
  <si>
    <t xml:space="preserve">CH.CAM.RECIB.ACH.ECH 229</t>
  </si>
  <si>
    <t xml:space="preserve">TRANS.CR.P/IN-PL.M/T</t>
  </si>
  <si>
    <t xml:space="preserve">06/06/2024</t>
  </si>
  <si>
    <t xml:space="preserve">DEPOSITO ATM PROPIO</t>
  </si>
  <si>
    <t xml:space="preserve">11/06/2024</t>
  </si>
  <si>
    <t xml:space="preserve">25/06/2024</t>
  </si>
  <si>
    <t xml:space="preserve">28/06/2024</t>
  </si>
  <si>
    <t xml:space="preserve">01/07/2024</t>
  </si>
  <si>
    <t xml:space="preserve">10/07/2024</t>
  </si>
  <si>
    <t xml:space="preserve">11/07/2024</t>
  </si>
  <si>
    <t xml:space="preserve">12/07/2024</t>
  </si>
  <si>
    <t xml:space="preserve">COM.CV.OT.B.C/SUCBPC</t>
  </si>
  <si>
    <t xml:space="preserve">CJE.VAL.OT.B.C/SUBPC</t>
  </si>
  <si>
    <t xml:space="preserve">15/07/2024</t>
  </si>
  <si>
    <t xml:space="preserve">31/07/2024</t>
  </si>
  <si>
    <t xml:space="preserve">01/08/2024</t>
  </si>
  <si>
    <t xml:space="preserve">30/08/2024</t>
  </si>
  <si>
    <t xml:space="preserve">COM.SDO.PROM.MENOR</t>
  </si>
  <si>
    <t xml:space="preserve">02/09/2024</t>
  </si>
  <si>
    <t xml:space="preserve">05/09/2024</t>
  </si>
  <si>
    <t xml:space="preserve">09/09/2024</t>
  </si>
  <si>
    <t xml:space="preserve">10/09/2024</t>
  </si>
  <si>
    <t xml:space="preserve">30/09/2024</t>
  </si>
  <si>
    <t xml:space="preserve">01/10/2024</t>
  </si>
  <si>
    <t xml:space="preserve">08/10/2024</t>
  </si>
  <si>
    <t xml:space="preserve">25/10/2024</t>
  </si>
  <si>
    <t xml:space="preserve">29/10/2024</t>
  </si>
  <si>
    <t xml:space="preserve">31/10/2024</t>
  </si>
  <si>
    <t xml:space="preserve">01/11/2024</t>
  </si>
  <si>
    <t xml:space="preserve">05/11/2024</t>
  </si>
  <si>
    <t xml:space="preserve">29/11/2024</t>
  </si>
  <si>
    <t xml:space="preserve">02/12/2024</t>
  </si>
  <si>
    <t xml:space="preserve">30/12/2024</t>
  </si>
  <si>
    <t xml:space="preserve">02/01/2025</t>
  </si>
  <si>
    <t xml:space="preserve">09/01/2025</t>
  </si>
  <si>
    <t xml:space="preserve">31/01/2025</t>
  </si>
  <si>
    <t xml:space="preserve">03/02/2025</t>
  </si>
  <si>
    <t xml:space="preserve">28/02/2025</t>
  </si>
  <si>
    <t xml:space="preserve">05/03/2025</t>
  </si>
  <si>
    <t xml:space="preserve">06/03/2025</t>
  </si>
  <si>
    <t xml:space="preserve">CANJE VALORES BPC</t>
  </si>
  <si>
    <t xml:space="preserve">07/03/2025</t>
  </si>
  <si>
    <t xml:space="preserve">LOCACION CAJA SEGURI</t>
  </si>
  <si>
    <t xml:space="preserve">31/03/2025</t>
  </si>
  <si>
    <t xml:space="preserve">30/04/2025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</si>
</sst>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I3" activeCellId="0" sqref="I3:I36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5" min="4" style="0" width="18"/>
    <col collapsed="false" customWidth="true" hidden="false" outlineLevel="0" max="6" min="6" style="0" width="20"/>
    <col collapsed="false" customWidth="true" hidden="false" outlineLevel="0" max="7" min="7" style="0" width="15.02"/>
    <col collapsed="false" customWidth="true" hidden="false" outlineLevel="0" max="8" min="8" style="0" width="19.52"/>
    <col collapsed="false" customWidth="true" hidden="false" outlineLevel="0" max="9" min="9" style="0" width="10.2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customFormat="false" ht="19.5" hidden="false" customHeight="true" outlineLevel="0" collapsed="false">
      <c r="A2" s="2"/>
      <c r="B2" s="2"/>
      <c r="C2" s="3" t="s">
        <v>8</v>
      </c>
      <c r="D2" s="2"/>
      <c r="E2" s="2"/>
      <c r="F2" s="2"/>
      <c r="G2" s="4" t="n">
        <v>-28901.28</v>
      </c>
    </row>
    <row r="3" customFormat="false" ht="15" hidden="false" customHeight="false" outlineLevel="0" collapsed="false">
      <c r="A3" s="5" t="n">
        <v>5</v>
      </c>
      <c r="B3" s="5" t="s">
        <v>9</v>
      </c>
      <c r="C3" s="6" t="s">
        <v>10</v>
      </c>
      <c r="D3" s="7"/>
      <c r="E3" s="8" t="n">
        <v>2588.65</v>
      </c>
      <c r="F3" s="9"/>
      <c r="G3" s="8" t="n">
        <v>-31489.93</v>
      </c>
      <c r="H3" s="0" t="n">
        <f aca="false">G2+F3-E3</f>
        <v>-31489.93</v>
      </c>
      <c r="I3" s="10" t="n">
        <f aca="false">H3-G3</f>
        <v>0</v>
      </c>
    </row>
    <row r="4" customFormat="false" ht="15" hidden="false" customHeight="false" outlineLevel="0" collapsed="false">
      <c r="A4" s="11" t="n">
        <v>5</v>
      </c>
      <c r="B4" s="11" t="s">
        <v>9</v>
      </c>
      <c r="C4" s="12" t="s">
        <v>11</v>
      </c>
      <c r="D4" s="13"/>
      <c r="E4" s="14" t="n">
        <v>24.08</v>
      </c>
      <c r="F4" s="15"/>
      <c r="G4" s="14" t="n">
        <v>-31514.01</v>
      </c>
      <c r="H4" s="0" t="n">
        <f aca="false">H3+F4-E4</f>
        <v>-31514.01</v>
      </c>
      <c r="I4" s="10" t="n">
        <f aca="false">H4-G4</f>
        <v>0</v>
      </c>
    </row>
    <row r="5" customFormat="false" ht="15" hidden="false" customHeight="false" outlineLevel="0" collapsed="false">
      <c r="A5" s="5" t="n">
        <v>5</v>
      </c>
      <c r="B5" s="5" t="s">
        <v>9</v>
      </c>
      <c r="C5" s="6" t="s">
        <v>12</v>
      </c>
      <c r="D5" s="7"/>
      <c r="E5" s="8" t="n">
        <v>271.81</v>
      </c>
      <c r="F5" s="9"/>
      <c r="G5" s="8" t="n">
        <v>-31785.82</v>
      </c>
      <c r="H5" s="0" t="n">
        <f aca="false">H4+F5-E5</f>
        <v>-31785.82</v>
      </c>
      <c r="I5" s="10" t="n">
        <f aca="false">H5-G5</f>
        <v>0</v>
      </c>
    </row>
    <row r="6" customFormat="false" ht="15" hidden="false" customHeight="false" outlineLevel="0" collapsed="false">
      <c r="A6" s="11" t="n">
        <v>5</v>
      </c>
      <c r="B6" s="11" t="s">
        <v>9</v>
      </c>
      <c r="C6" s="12" t="s">
        <v>13</v>
      </c>
      <c r="D6" s="13"/>
      <c r="E6" s="14" t="n">
        <v>15.53</v>
      </c>
      <c r="F6" s="15"/>
      <c r="G6" s="14" t="n">
        <v>-31801.35</v>
      </c>
      <c r="H6" s="0" t="n">
        <f aca="false">H5+F6-E6</f>
        <v>-31801.35</v>
      </c>
      <c r="I6" s="10" t="n">
        <f aca="false">H6-G6</f>
        <v>0</v>
      </c>
    </row>
    <row r="7" customFormat="false" ht="15" hidden="false" customHeight="false" outlineLevel="0" collapsed="false">
      <c r="A7" s="5" t="n">
        <v>5</v>
      </c>
      <c r="B7" s="5" t="s">
        <v>9</v>
      </c>
      <c r="C7" s="6" t="s">
        <v>13</v>
      </c>
      <c r="D7" s="7"/>
      <c r="E7" s="8" t="n">
        <v>1.63</v>
      </c>
      <c r="F7" s="9"/>
      <c r="G7" s="8" t="n">
        <v>-31802.98</v>
      </c>
      <c r="H7" s="0" t="n">
        <f aca="false">H6+F7-E7</f>
        <v>-31802.98</v>
      </c>
      <c r="I7" s="10" t="n">
        <f aca="false">H7-G7</f>
        <v>0</v>
      </c>
    </row>
    <row r="8" customFormat="false" ht="15" hidden="false" customHeight="false" outlineLevel="0" collapsed="false">
      <c r="A8" s="11" t="n">
        <v>5</v>
      </c>
      <c r="B8" s="11" t="s">
        <v>9</v>
      </c>
      <c r="C8" s="12" t="s">
        <v>13</v>
      </c>
      <c r="D8" s="13"/>
      <c r="E8" s="14" t="n">
        <v>0.14</v>
      </c>
      <c r="F8" s="15"/>
      <c r="G8" s="14" t="n">
        <v>-31803.12</v>
      </c>
      <c r="H8" s="0" t="n">
        <f aca="false">H7+F8-E8</f>
        <v>-31803.12</v>
      </c>
      <c r="I8" s="10" t="n">
        <f aca="false">H8-G8</f>
        <v>0</v>
      </c>
    </row>
    <row r="9" customFormat="false" ht="15" hidden="false" customHeight="false" outlineLevel="0" collapsed="false">
      <c r="A9" s="5" t="n">
        <v>5</v>
      </c>
      <c r="B9" s="5" t="s">
        <v>9</v>
      </c>
      <c r="C9" s="6" t="s">
        <v>13</v>
      </c>
      <c r="D9" s="7"/>
      <c r="E9" s="8" t="n">
        <v>857.44</v>
      </c>
      <c r="F9" s="9"/>
      <c r="G9" s="8" t="n">
        <v>-32660.56</v>
      </c>
      <c r="H9" s="0" t="n">
        <f aca="false">H8+F9-E9</f>
        <v>-32660.56</v>
      </c>
      <c r="I9" s="10" t="n">
        <f aca="false">H9-G9</f>
        <v>0</v>
      </c>
    </row>
    <row r="10" customFormat="false" ht="15" hidden="false" customHeight="false" outlineLevel="0" collapsed="false">
      <c r="A10" s="11" t="n">
        <v>5</v>
      </c>
      <c r="B10" s="11" t="s">
        <v>9</v>
      </c>
      <c r="C10" s="12" t="s">
        <v>14</v>
      </c>
      <c r="D10" s="13"/>
      <c r="E10" s="14" t="n">
        <v>85744.42</v>
      </c>
      <c r="F10" s="15"/>
      <c r="G10" s="14" t="n">
        <v>-118404.98</v>
      </c>
      <c r="H10" s="0" t="n">
        <f aca="false">H9+F10-E10</f>
        <v>-118404.98</v>
      </c>
      <c r="I10" s="10" t="n">
        <f aca="false">H10-G10</f>
        <v>0</v>
      </c>
    </row>
    <row r="11" customFormat="false" ht="15" hidden="false" customHeight="false" outlineLevel="0" collapsed="false">
      <c r="A11" s="5" t="n">
        <v>5</v>
      </c>
      <c r="B11" s="5" t="s">
        <v>9</v>
      </c>
      <c r="C11" s="6" t="s">
        <v>15</v>
      </c>
      <c r="D11" s="7"/>
      <c r="E11" s="9"/>
      <c r="F11" s="8" t="n">
        <v>14290737</v>
      </c>
      <c r="G11" s="8" t="n">
        <v>14172332.02</v>
      </c>
      <c r="H11" s="0" t="n">
        <f aca="false">H10+F11-E11</f>
        <v>14172332.02</v>
      </c>
      <c r="I11" s="10" t="n">
        <f aca="false">H11-G11</f>
        <v>0</v>
      </c>
    </row>
    <row r="12" customFormat="false" ht="15" hidden="false" customHeight="false" outlineLevel="0" collapsed="false">
      <c r="A12" s="11" t="n">
        <v>5</v>
      </c>
      <c r="B12" s="11" t="s">
        <v>9</v>
      </c>
      <c r="C12" s="12" t="s">
        <v>16</v>
      </c>
      <c r="D12" s="13"/>
      <c r="E12" s="14" t="n">
        <v>142907.37</v>
      </c>
      <c r="F12" s="15"/>
      <c r="G12" s="14" t="n">
        <v>14029424.65</v>
      </c>
      <c r="H12" s="0" t="n">
        <f aca="false">H11+F12-E12</f>
        <v>14029424.65</v>
      </c>
      <c r="I12" s="10" t="n">
        <f aca="false">H12-G12</f>
        <v>0</v>
      </c>
    </row>
    <row r="13" customFormat="false" ht="15" hidden="false" customHeight="false" outlineLevel="0" collapsed="false">
      <c r="A13" s="5" t="n">
        <v>5</v>
      </c>
      <c r="B13" s="5" t="s">
        <v>17</v>
      </c>
      <c r="C13" s="6" t="s">
        <v>18</v>
      </c>
      <c r="D13" s="7"/>
      <c r="E13" s="8" t="n">
        <v>5637963.74</v>
      </c>
      <c r="F13" s="9"/>
      <c r="G13" s="8" t="n">
        <v>8391460.91</v>
      </c>
      <c r="H13" s="0" t="n">
        <f aca="false">H12+F13-E13</f>
        <v>8391460.91</v>
      </c>
      <c r="I13" s="10" t="n">
        <f aca="false">H13-G13</f>
        <v>0</v>
      </c>
    </row>
    <row r="14" customFormat="false" ht="15" hidden="false" customHeight="false" outlineLevel="0" collapsed="false">
      <c r="A14" s="11" t="n">
        <v>5</v>
      </c>
      <c r="B14" s="11" t="s">
        <v>17</v>
      </c>
      <c r="C14" s="12" t="s">
        <v>13</v>
      </c>
      <c r="D14" s="13"/>
      <c r="E14" s="14" t="n">
        <v>33827.78</v>
      </c>
      <c r="F14" s="15"/>
      <c r="G14" s="14" t="n">
        <v>8357633.13</v>
      </c>
      <c r="H14" s="0" t="n">
        <f aca="false">H13+F14-E14</f>
        <v>8357633.13</v>
      </c>
      <c r="I14" s="10" t="n">
        <f aca="false">H14-G14</f>
        <v>0</v>
      </c>
    </row>
    <row r="15" customFormat="false" ht="15" hidden="false" customHeight="false" outlineLevel="0" collapsed="false">
      <c r="A15" s="5" t="n">
        <v>5</v>
      </c>
      <c r="B15" s="5" t="s">
        <v>19</v>
      </c>
      <c r="C15" s="6" t="s">
        <v>13</v>
      </c>
      <c r="D15" s="7"/>
      <c r="E15" s="8" t="n">
        <v>234.38</v>
      </c>
      <c r="F15" s="9"/>
      <c r="G15" s="8" t="n">
        <v>8357398.75</v>
      </c>
      <c r="H15" s="0" t="n">
        <f aca="false">H14+F15-E15</f>
        <v>8357398.75</v>
      </c>
      <c r="I15" s="10" t="n">
        <f aca="false">H15-G15</f>
        <v>0</v>
      </c>
    </row>
    <row r="16" customFormat="false" ht="15" hidden="false" customHeight="false" outlineLevel="0" collapsed="false">
      <c r="A16" s="11" t="n">
        <v>5</v>
      </c>
      <c r="B16" s="11" t="s">
        <v>19</v>
      </c>
      <c r="C16" s="12" t="s">
        <v>13</v>
      </c>
      <c r="D16" s="13"/>
      <c r="E16" s="14" t="n">
        <v>632.74</v>
      </c>
      <c r="F16" s="15"/>
      <c r="G16" s="14" t="n">
        <v>8356766.01</v>
      </c>
      <c r="H16" s="0" t="n">
        <f aca="false">H15+F16-E16</f>
        <v>8356766.01</v>
      </c>
      <c r="I16" s="10" t="n">
        <f aca="false">H16-G16</f>
        <v>0</v>
      </c>
    </row>
    <row r="17" customFormat="false" ht="15" hidden="false" customHeight="false" outlineLevel="0" collapsed="false">
      <c r="A17" s="5" t="n">
        <v>5</v>
      </c>
      <c r="B17" s="5" t="s">
        <v>19</v>
      </c>
      <c r="C17" s="6" t="s">
        <v>13</v>
      </c>
      <c r="D17" s="7"/>
      <c r="E17" s="8" t="n">
        <v>305.72</v>
      </c>
      <c r="F17" s="9"/>
      <c r="G17" s="8" t="n">
        <v>8356460.29</v>
      </c>
      <c r="H17" s="0" t="n">
        <f aca="false">H16+F17-E17</f>
        <v>8356460.29</v>
      </c>
      <c r="I17" s="10" t="n">
        <f aca="false">H17-G17</f>
        <v>0</v>
      </c>
    </row>
    <row r="18" customFormat="false" ht="15" hidden="false" customHeight="false" outlineLevel="0" collapsed="false">
      <c r="A18" s="11" t="n">
        <v>5</v>
      </c>
      <c r="B18" s="11" t="s">
        <v>19</v>
      </c>
      <c r="C18" s="12" t="s">
        <v>20</v>
      </c>
      <c r="D18" s="13"/>
      <c r="E18" s="14" t="n">
        <v>39062.86</v>
      </c>
      <c r="F18" s="15"/>
      <c r="G18" s="14" t="n">
        <v>8317397.43</v>
      </c>
      <c r="H18" s="0" t="n">
        <f aca="false">H17+F18-E18</f>
        <v>8317397.43</v>
      </c>
      <c r="I18" s="10" t="n">
        <f aca="false">H18-G18</f>
        <v>0</v>
      </c>
    </row>
    <row r="19" customFormat="false" ht="15" hidden="false" customHeight="false" outlineLevel="0" collapsed="false">
      <c r="A19" s="5" t="n">
        <v>5</v>
      </c>
      <c r="B19" s="5" t="s">
        <v>19</v>
      </c>
      <c r="C19" s="6" t="s">
        <v>20</v>
      </c>
      <c r="D19" s="7"/>
      <c r="E19" s="8" t="n">
        <v>105456</v>
      </c>
      <c r="F19" s="9"/>
      <c r="G19" s="8" t="n">
        <v>8211941.43</v>
      </c>
      <c r="H19" s="0" t="n">
        <f aca="false">H18+F19-E19</f>
        <v>8211941.43</v>
      </c>
      <c r="I19" s="10" t="n">
        <f aca="false">H19-G19</f>
        <v>0</v>
      </c>
    </row>
    <row r="20" customFormat="false" ht="15" hidden="false" customHeight="false" outlineLevel="0" collapsed="false">
      <c r="A20" s="11" t="n">
        <v>5</v>
      </c>
      <c r="B20" s="11" t="s">
        <v>19</v>
      </c>
      <c r="C20" s="12" t="s">
        <v>20</v>
      </c>
      <c r="D20" s="13"/>
      <c r="E20" s="14" t="n">
        <v>50952.9</v>
      </c>
      <c r="F20" s="15"/>
      <c r="G20" s="14" t="n">
        <v>8160988.53</v>
      </c>
      <c r="H20" s="0" t="n">
        <f aca="false">H19+F20-E20</f>
        <v>8160988.53</v>
      </c>
      <c r="I20" s="10" t="n">
        <f aca="false">H20-G20</f>
        <v>0</v>
      </c>
    </row>
    <row r="21" customFormat="false" ht="15" hidden="false" customHeight="false" outlineLevel="0" collapsed="false">
      <c r="A21" s="5" t="n">
        <v>5</v>
      </c>
      <c r="B21" s="5" t="s">
        <v>21</v>
      </c>
      <c r="C21" s="6" t="s">
        <v>18</v>
      </c>
      <c r="D21" s="7"/>
      <c r="E21" s="8" t="n">
        <v>5198700</v>
      </c>
      <c r="F21" s="9"/>
      <c r="G21" s="8" t="n">
        <v>2962288.53</v>
      </c>
      <c r="H21" s="0" t="n">
        <f aca="false">H20+F21-E21</f>
        <v>2962288.53</v>
      </c>
      <c r="I21" s="10" t="n">
        <f aca="false">H21-G21</f>
        <v>0</v>
      </c>
    </row>
    <row r="22" customFormat="false" ht="15" hidden="false" customHeight="false" outlineLevel="0" collapsed="false">
      <c r="A22" s="11" t="n">
        <v>5</v>
      </c>
      <c r="B22" s="11" t="s">
        <v>21</v>
      </c>
      <c r="C22" s="12" t="s">
        <v>13</v>
      </c>
      <c r="D22" s="13"/>
      <c r="E22" s="14" t="n">
        <v>31192.2</v>
      </c>
      <c r="F22" s="15"/>
      <c r="G22" s="14" t="n">
        <v>2931096.33</v>
      </c>
      <c r="H22" s="0" t="n">
        <f aca="false">H21+F22-E22</f>
        <v>2931096.33</v>
      </c>
      <c r="I22" s="10" t="n">
        <f aca="false">H22-G22</f>
        <v>0</v>
      </c>
    </row>
    <row r="23" customFormat="false" ht="15" hidden="false" customHeight="false" outlineLevel="0" collapsed="false">
      <c r="A23" s="5" t="n">
        <v>5</v>
      </c>
      <c r="B23" s="5" t="s">
        <v>22</v>
      </c>
      <c r="C23" s="6" t="s">
        <v>23</v>
      </c>
      <c r="D23" s="7"/>
      <c r="E23" s="8" t="n">
        <v>2931000</v>
      </c>
      <c r="F23" s="9"/>
      <c r="G23" s="8" t="n">
        <v>96.33</v>
      </c>
      <c r="H23" s="0" t="n">
        <f aca="false">H22+F23-E23</f>
        <v>96.3299999991432</v>
      </c>
      <c r="I23" s="10" t="n">
        <f aca="false">H23-G23</f>
        <v>-8.56815063343674E-010</v>
      </c>
    </row>
    <row r="24" customFormat="false" ht="15" hidden="false" customHeight="false" outlineLevel="0" collapsed="false">
      <c r="A24" s="11" t="n">
        <v>5</v>
      </c>
      <c r="B24" s="11" t="s">
        <v>24</v>
      </c>
      <c r="C24" s="12" t="s">
        <v>25</v>
      </c>
      <c r="D24" s="13"/>
      <c r="E24" s="15"/>
      <c r="F24" s="14" t="n">
        <v>5356700</v>
      </c>
      <c r="G24" s="14" t="n">
        <v>5356796.33</v>
      </c>
      <c r="H24" s="0" t="n">
        <f aca="false">H23+F24-E24</f>
        <v>5356796.33</v>
      </c>
      <c r="I24" s="10" t="n">
        <f aca="false">H24-G24</f>
        <v>0</v>
      </c>
    </row>
    <row r="25" customFormat="false" ht="15" hidden="false" customHeight="false" outlineLevel="0" collapsed="false">
      <c r="A25" s="5" t="n">
        <v>5</v>
      </c>
      <c r="B25" s="5" t="s">
        <v>24</v>
      </c>
      <c r="C25" s="6" t="s">
        <v>13</v>
      </c>
      <c r="D25" s="7"/>
      <c r="E25" s="8" t="n">
        <v>321.4</v>
      </c>
      <c r="F25" s="9"/>
      <c r="G25" s="8" t="n">
        <v>5356474.93</v>
      </c>
      <c r="H25" s="0" t="n">
        <f aca="false">H24+F25-E25</f>
        <v>5356474.93</v>
      </c>
      <c r="I25" s="10" t="n">
        <f aca="false">H25-G25</f>
        <v>0</v>
      </c>
    </row>
    <row r="26" customFormat="false" ht="15" hidden="false" customHeight="false" outlineLevel="0" collapsed="false">
      <c r="A26" s="11" t="n">
        <v>5</v>
      </c>
      <c r="B26" s="11" t="s">
        <v>24</v>
      </c>
      <c r="C26" s="12" t="s">
        <v>14</v>
      </c>
      <c r="D26" s="13"/>
      <c r="E26" s="14" t="n">
        <v>32140.2</v>
      </c>
      <c r="F26" s="15"/>
      <c r="G26" s="14" t="n">
        <v>5324334.73</v>
      </c>
      <c r="H26" s="0" t="n">
        <f aca="false">H25+F26-E26</f>
        <v>5324334.73</v>
      </c>
      <c r="I26" s="10" t="n">
        <f aca="false">H26-G26</f>
        <v>0</v>
      </c>
    </row>
    <row r="27" customFormat="false" ht="15" hidden="false" customHeight="false" outlineLevel="0" collapsed="false">
      <c r="A27" s="5" t="n">
        <v>5</v>
      </c>
      <c r="B27" s="5" t="s">
        <v>24</v>
      </c>
      <c r="C27" s="6" t="s">
        <v>23</v>
      </c>
      <c r="D27" s="7"/>
      <c r="E27" s="8" t="n">
        <v>3000000</v>
      </c>
      <c r="F27" s="9"/>
      <c r="G27" s="8" t="n">
        <v>2324334.73</v>
      </c>
      <c r="H27" s="0" t="n">
        <f aca="false">H26+F27-E27</f>
        <v>2324334.73</v>
      </c>
      <c r="I27" s="10" t="n">
        <f aca="false">H27-G27</f>
        <v>0</v>
      </c>
    </row>
    <row r="28" customFormat="false" ht="15" hidden="false" customHeight="false" outlineLevel="0" collapsed="false">
      <c r="A28" s="11" t="n">
        <v>5</v>
      </c>
      <c r="B28" s="11" t="s">
        <v>24</v>
      </c>
      <c r="C28" s="12" t="s">
        <v>23</v>
      </c>
      <c r="D28" s="13"/>
      <c r="E28" s="14" t="n">
        <v>2356000</v>
      </c>
      <c r="F28" s="15"/>
      <c r="G28" s="14" t="n">
        <v>-31665.27</v>
      </c>
      <c r="H28" s="0" t="n">
        <f aca="false">H27+F28-E28</f>
        <v>-31665.2700000014</v>
      </c>
      <c r="I28" s="10" t="n">
        <f aca="false">H28-G28</f>
        <v>-1.41517375595868E-009</v>
      </c>
    </row>
    <row r="29" customFormat="false" ht="15" hidden="false" customHeight="false" outlineLevel="0" collapsed="false">
      <c r="A29" s="5" t="n">
        <v>5</v>
      </c>
      <c r="B29" s="5" t="s">
        <v>24</v>
      </c>
      <c r="C29" s="6" t="s">
        <v>16</v>
      </c>
      <c r="D29" s="7"/>
      <c r="E29" s="8" t="n">
        <v>53567</v>
      </c>
      <c r="F29" s="9"/>
      <c r="G29" s="8" t="n">
        <v>-85232.27</v>
      </c>
      <c r="H29" s="0" t="n">
        <f aca="false">H28+F29-E29</f>
        <v>-85232.2700000014</v>
      </c>
      <c r="I29" s="10" t="n">
        <f aca="false">H29-G29</f>
        <v>-1.41153577715158E-009</v>
      </c>
    </row>
    <row r="30" customFormat="false" ht="15" hidden="false" customHeight="false" outlineLevel="0" collapsed="false">
      <c r="A30" s="11" t="n">
        <v>5</v>
      </c>
      <c r="B30" s="11" t="s">
        <v>26</v>
      </c>
      <c r="C30" s="12" t="s">
        <v>27</v>
      </c>
      <c r="D30" s="13"/>
      <c r="E30" s="14" t="n">
        <v>780</v>
      </c>
      <c r="F30" s="15"/>
      <c r="G30" s="14" t="n">
        <v>-86012.27</v>
      </c>
      <c r="H30" s="0" t="n">
        <f aca="false">H29+F30-E30</f>
        <v>-86012.2700000014</v>
      </c>
      <c r="I30" s="10" t="n">
        <f aca="false">H30-G30</f>
        <v>-1.41153577715158E-009</v>
      </c>
    </row>
    <row r="31" customFormat="false" ht="15" hidden="false" customHeight="false" outlineLevel="0" collapsed="false">
      <c r="A31" s="5" t="n">
        <v>5</v>
      </c>
      <c r="B31" s="5" t="s">
        <v>26</v>
      </c>
      <c r="C31" s="6" t="s">
        <v>28</v>
      </c>
      <c r="D31" s="7"/>
      <c r="E31" s="8" t="n">
        <v>5460</v>
      </c>
      <c r="F31" s="9"/>
      <c r="G31" s="8" t="n">
        <v>-91472.27</v>
      </c>
      <c r="H31" s="0" t="n">
        <f aca="false">H30+F31-E31</f>
        <v>-91472.2700000014</v>
      </c>
      <c r="I31" s="10" t="n">
        <f aca="false">H31-G31</f>
        <v>-1.41153577715158E-009</v>
      </c>
    </row>
    <row r="32" customFormat="false" ht="15" hidden="false" customHeight="false" outlineLevel="0" collapsed="false">
      <c r="A32" s="11" t="n">
        <v>5</v>
      </c>
      <c r="B32" s="11" t="s">
        <v>26</v>
      </c>
      <c r="C32" s="12" t="s">
        <v>29</v>
      </c>
      <c r="D32" s="13"/>
      <c r="E32" s="14" t="n">
        <v>26000</v>
      </c>
      <c r="F32" s="15"/>
      <c r="G32" s="14" t="n">
        <v>-117472.27</v>
      </c>
      <c r="H32" s="0" t="n">
        <f aca="false">H31+F32-E32</f>
        <v>-117472.270000001</v>
      </c>
      <c r="I32" s="10" t="n">
        <f aca="false">H32-G32</f>
        <v>-1.41153577715158E-009</v>
      </c>
    </row>
    <row r="33" customFormat="false" ht="15" hidden="false" customHeight="false" outlineLevel="0" collapsed="false">
      <c r="A33" s="5" t="n">
        <v>5</v>
      </c>
      <c r="B33" s="5" t="s">
        <v>26</v>
      </c>
      <c r="C33" s="6" t="s">
        <v>13</v>
      </c>
      <c r="D33" s="7"/>
      <c r="E33" s="8" t="n">
        <v>156</v>
      </c>
      <c r="F33" s="9"/>
      <c r="G33" s="8" t="n">
        <v>-117628.27</v>
      </c>
      <c r="H33" s="0" t="n">
        <f aca="false">H32+F33-E33</f>
        <v>-117628.270000001</v>
      </c>
      <c r="I33" s="10" t="n">
        <f aca="false">H33-G33</f>
        <v>-1.41153577715158E-009</v>
      </c>
    </row>
    <row r="34" customFormat="false" ht="15" hidden="false" customHeight="false" outlineLevel="0" collapsed="false">
      <c r="A34" s="11" t="n">
        <v>5</v>
      </c>
      <c r="B34" s="11" t="s">
        <v>26</v>
      </c>
      <c r="C34" s="12" t="s">
        <v>13</v>
      </c>
      <c r="D34" s="13"/>
      <c r="E34" s="14" t="n">
        <v>32.76</v>
      </c>
      <c r="F34" s="15"/>
      <c r="G34" s="14" t="n">
        <v>-117661.03</v>
      </c>
      <c r="H34" s="0" t="n">
        <f aca="false">H33+F34-E34</f>
        <v>-117661.030000001</v>
      </c>
      <c r="I34" s="10" t="n">
        <f aca="false">H34-G34</f>
        <v>-1.41153577715158E-009</v>
      </c>
    </row>
    <row r="35" customFormat="false" ht="15" hidden="false" customHeight="false" outlineLevel="0" collapsed="false">
      <c r="A35" s="5" t="n">
        <v>5</v>
      </c>
      <c r="B35" s="5" t="s">
        <v>26</v>
      </c>
      <c r="C35" s="6" t="s">
        <v>13</v>
      </c>
      <c r="D35" s="7"/>
      <c r="E35" s="8" t="n">
        <v>4.68</v>
      </c>
      <c r="F35" s="9"/>
      <c r="G35" s="8" t="n">
        <v>-117665.71</v>
      </c>
      <c r="H35" s="0" t="n">
        <f aca="false">H34+F35-E35</f>
        <v>-117665.710000001</v>
      </c>
      <c r="I35" s="10" t="n">
        <f aca="false">H35-G35</f>
        <v>-1.39698386192322E-009</v>
      </c>
    </row>
    <row r="36" customFormat="false" ht="15" hidden="false" customHeight="false" outlineLevel="0" collapsed="false">
      <c r="A36" s="11" t="n">
        <v>6</v>
      </c>
      <c r="B36" s="11" t="s">
        <v>30</v>
      </c>
      <c r="C36" s="12" t="s">
        <v>10</v>
      </c>
      <c r="D36" s="13"/>
      <c r="E36" s="14" t="n">
        <v>771.93</v>
      </c>
      <c r="F36" s="15"/>
      <c r="G36" s="14" t="n">
        <v>-118437.64</v>
      </c>
      <c r="H36" s="0" t="n">
        <f aca="false">H35+F36-E36</f>
        <v>-118437.640000001</v>
      </c>
      <c r="I36" s="10" t="n">
        <f aca="false">H36-G36</f>
        <v>-1.39698386192322E-009</v>
      </c>
    </row>
    <row r="37" customFormat="false" ht="15" hidden="false" customHeight="false" outlineLevel="0" collapsed="false">
      <c r="A37" s="5" t="n">
        <v>6</v>
      </c>
      <c r="B37" s="5" t="s">
        <v>30</v>
      </c>
      <c r="C37" s="6" t="s">
        <v>11</v>
      </c>
      <c r="D37" s="7"/>
      <c r="E37" s="8" t="n">
        <v>9.35</v>
      </c>
      <c r="F37" s="9"/>
      <c r="G37" s="8" t="n">
        <v>-118446.99</v>
      </c>
      <c r="H37" s="0" t="n">
        <f aca="false">H36+F37-E37</f>
        <v>-118446.990000001</v>
      </c>
      <c r="I37" s="10" t="n">
        <f aca="false">H37-G37</f>
        <v>-1.39698386192322E-009</v>
      </c>
    </row>
    <row r="38" customFormat="false" ht="15" hidden="false" customHeight="false" outlineLevel="0" collapsed="false">
      <c r="A38" s="11" t="n">
        <v>6</v>
      </c>
      <c r="B38" s="11" t="s">
        <v>30</v>
      </c>
      <c r="C38" s="12" t="s">
        <v>12</v>
      </c>
      <c r="D38" s="13"/>
      <c r="E38" s="14" t="n">
        <v>81.05</v>
      </c>
      <c r="F38" s="15"/>
      <c r="G38" s="14" t="n">
        <v>-118528.04</v>
      </c>
      <c r="H38" s="0" t="n">
        <f aca="false">H37+F38-E38</f>
        <v>-118528.040000001</v>
      </c>
      <c r="I38" s="10" t="n">
        <f aca="false">H38-G38</f>
        <v>-1.41153577715158E-009</v>
      </c>
    </row>
    <row r="39" customFormat="false" ht="15" hidden="false" customHeight="false" outlineLevel="0" collapsed="false">
      <c r="A39" s="5" t="n">
        <v>6</v>
      </c>
      <c r="B39" s="5" t="s">
        <v>30</v>
      </c>
      <c r="C39" s="6" t="s">
        <v>13</v>
      </c>
      <c r="D39" s="7"/>
      <c r="E39" s="8" t="n">
        <v>4.63</v>
      </c>
      <c r="F39" s="9"/>
      <c r="G39" s="8" t="n">
        <v>-118532.67</v>
      </c>
      <c r="H39" s="0" t="n">
        <f aca="false">H38+F39-E39</f>
        <v>-118532.670000001</v>
      </c>
      <c r="I39" s="10" t="n">
        <f aca="false">H39-G39</f>
        <v>-1.41153577715158E-009</v>
      </c>
    </row>
    <row r="40" customFormat="false" ht="15" hidden="false" customHeight="false" outlineLevel="0" collapsed="false">
      <c r="A40" s="11" t="n">
        <v>6</v>
      </c>
      <c r="B40" s="11" t="s">
        <v>30</v>
      </c>
      <c r="C40" s="12" t="s">
        <v>13</v>
      </c>
      <c r="D40" s="13"/>
      <c r="E40" s="14" t="n">
        <v>0.49</v>
      </c>
      <c r="F40" s="15"/>
      <c r="G40" s="14" t="n">
        <v>-118533.16</v>
      </c>
      <c r="H40" s="0" t="n">
        <f aca="false">H39+F40-E40</f>
        <v>-118533.160000001</v>
      </c>
      <c r="I40" s="10" t="n">
        <f aca="false">H40-G40</f>
        <v>-1.41153577715158E-009</v>
      </c>
    </row>
    <row r="41" customFormat="false" ht="15" hidden="false" customHeight="false" outlineLevel="0" collapsed="false">
      <c r="A41" s="5" t="n">
        <v>6</v>
      </c>
      <c r="B41" s="5" t="s">
        <v>30</v>
      </c>
      <c r="C41" s="6" t="s">
        <v>13</v>
      </c>
      <c r="D41" s="7"/>
      <c r="E41" s="8" t="n">
        <v>0.06</v>
      </c>
      <c r="F41" s="9"/>
      <c r="G41" s="8" t="n">
        <v>-118533.22</v>
      </c>
      <c r="H41" s="0" t="n">
        <f aca="false">H40+F41-E41</f>
        <v>-118533.220000001</v>
      </c>
      <c r="I41" s="10" t="n">
        <f aca="false">H41-G41</f>
        <v>-1.41153577715158E-009</v>
      </c>
    </row>
    <row r="42" customFormat="false" ht="15" hidden="false" customHeight="false" outlineLevel="0" collapsed="false">
      <c r="A42" s="11" t="n">
        <v>6</v>
      </c>
      <c r="B42" s="11" t="s">
        <v>31</v>
      </c>
      <c r="C42" s="12" t="s">
        <v>32</v>
      </c>
      <c r="D42" s="13"/>
      <c r="E42" s="14" t="n">
        <v>4000000</v>
      </c>
      <c r="F42" s="15"/>
      <c r="G42" s="14" t="n">
        <v>-4118533.22</v>
      </c>
      <c r="H42" s="0" t="n">
        <f aca="false">H41+F42-E42</f>
        <v>-4118533.22</v>
      </c>
      <c r="I42" s="10" t="n">
        <f aca="false">H42-G42</f>
        <v>0</v>
      </c>
    </row>
    <row r="43" customFormat="false" ht="15" hidden="false" customHeight="false" outlineLevel="0" collapsed="false">
      <c r="A43" s="5" t="n">
        <v>6</v>
      </c>
      <c r="B43" s="5" t="s">
        <v>31</v>
      </c>
      <c r="C43" s="6" t="s">
        <v>13</v>
      </c>
      <c r="D43" s="7"/>
      <c r="E43" s="8" t="n">
        <v>24000</v>
      </c>
      <c r="F43" s="9"/>
      <c r="G43" s="8" t="n">
        <v>-4142533.22</v>
      </c>
      <c r="H43" s="0" t="n">
        <f aca="false">H42+F43-E43</f>
        <v>-4142533.22</v>
      </c>
      <c r="I43" s="10" t="n">
        <f aca="false">H43-G43</f>
        <v>0</v>
      </c>
    </row>
    <row r="44" customFormat="false" ht="15" hidden="false" customHeight="false" outlineLevel="0" collapsed="false">
      <c r="A44" s="11" t="n">
        <v>6</v>
      </c>
      <c r="B44" s="11" t="s">
        <v>31</v>
      </c>
      <c r="C44" s="12" t="s">
        <v>33</v>
      </c>
      <c r="D44" s="13"/>
      <c r="E44" s="15"/>
      <c r="F44" s="14" t="n">
        <v>4200000</v>
      </c>
      <c r="G44" s="14" t="n">
        <v>57466.78</v>
      </c>
      <c r="H44" s="0" t="n">
        <f aca="false">H43+F44-E44</f>
        <v>57466.7799999984</v>
      </c>
      <c r="I44" s="10" t="n">
        <f aca="false">H44-G44</f>
        <v>-1.60071067512035E-009</v>
      </c>
    </row>
    <row r="45" customFormat="false" ht="15" hidden="false" customHeight="false" outlineLevel="0" collapsed="false">
      <c r="A45" s="5" t="n">
        <v>6</v>
      </c>
      <c r="B45" s="5" t="s">
        <v>34</v>
      </c>
      <c r="C45" s="6" t="s">
        <v>14</v>
      </c>
      <c r="D45" s="7"/>
      <c r="E45" s="8" t="n">
        <v>240</v>
      </c>
      <c r="F45" s="9"/>
      <c r="G45" s="8" t="n">
        <v>57226.78</v>
      </c>
      <c r="H45" s="0" t="n">
        <f aca="false">H44+F45-E45</f>
        <v>57226.7799999984</v>
      </c>
      <c r="I45" s="10" t="n">
        <f aca="false">H45-G45</f>
        <v>-1.60071067512035E-009</v>
      </c>
    </row>
    <row r="46" customFormat="false" ht="15" hidden="false" customHeight="false" outlineLevel="0" collapsed="false">
      <c r="A46" s="11" t="n">
        <v>6</v>
      </c>
      <c r="B46" s="11" t="s">
        <v>34</v>
      </c>
      <c r="C46" s="12" t="s">
        <v>14</v>
      </c>
      <c r="D46" s="13"/>
      <c r="E46" s="14" t="n">
        <v>240</v>
      </c>
      <c r="F46" s="15"/>
      <c r="G46" s="14" t="n">
        <v>56986.78</v>
      </c>
      <c r="H46" s="0" t="n">
        <f aca="false">H45+F46-E46</f>
        <v>56986.7799999984</v>
      </c>
      <c r="I46" s="10" t="n">
        <f aca="false">H46-G46</f>
        <v>-1.60071067512035E-009</v>
      </c>
    </row>
    <row r="47" customFormat="false" ht="15" hidden="false" customHeight="false" outlineLevel="0" collapsed="false">
      <c r="A47" s="5" t="n">
        <v>6</v>
      </c>
      <c r="B47" s="5" t="s">
        <v>34</v>
      </c>
      <c r="C47" s="6" t="s">
        <v>14</v>
      </c>
      <c r="D47" s="7"/>
      <c r="E47" s="8" t="n">
        <v>240</v>
      </c>
      <c r="F47" s="9"/>
      <c r="G47" s="8" t="n">
        <v>56746.78</v>
      </c>
      <c r="H47" s="0" t="n">
        <f aca="false">H46+F47-E47</f>
        <v>56746.7799999984</v>
      </c>
      <c r="I47" s="10" t="n">
        <f aca="false">H47-G47</f>
        <v>-1.60071067512035E-009</v>
      </c>
    </row>
    <row r="48" customFormat="false" ht="15" hidden="false" customHeight="false" outlineLevel="0" collapsed="false">
      <c r="A48" s="11" t="n">
        <v>6</v>
      </c>
      <c r="B48" s="11" t="s">
        <v>34</v>
      </c>
      <c r="C48" s="12" t="s">
        <v>14</v>
      </c>
      <c r="D48" s="13"/>
      <c r="E48" s="14" t="n">
        <v>240</v>
      </c>
      <c r="F48" s="15"/>
      <c r="G48" s="14" t="n">
        <v>56506.78</v>
      </c>
      <c r="H48" s="0" t="n">
        <f aca="false">H47+F48-E48</f>
        <v>56506.7799999984</v>
      </c>
      <c r="I48" s="10" t="n">
        <f aca="false">H48-G48</f>
        <v>-1.60071067512035E-009</v>
      </c>
    </row>
    <row r="49" customFormat="false" ht="15" hidden="false" customHeight="false" outlineLevel="0" collapsed="false">
      <c r="A49" s="5" t="n">
        <v>6</v>
      </c>
      <c r="B49" s="5" t="s">
        <v>34</v>
      </c>
      <c r="C49" s="6" t="s">
        <v>14</v>
      </c>
      <c r="D49" s="7"/>
      <c r="E49" s="8" t="n">
        <v>240</v>
      </c>
      <c r="F49" s="9"/>
      <c r="G49" s="8" t="n">
        <v>56266.78</v>
      </c>
      <c r="H49" s="0" t="n">
        <f aca="false">H48+F49-E49</f>
        <v>56266.7799999984</v>
      </c>
      <c r="I49" s="10" t="n">
        <f aca="false">H49-G49</f>
        <v>-1.60071067512035E-009</v>
      </c>
    </row>
    <row r="50" customFormat="false" ht="15" hidden="false" customHeight="false" outlineLevel="0" collapsed="false">
      <c r="A50" s="11" t="n">
        <v>6</v>
      </c>
      <c r="B50" s="11" t="s">
        <v>34</v>
      </c>
      <c r="C50" s="12" t="s">
        <v>14</v>
      </c>
      <c r="D50" s="13"/>
      <c r="E50" s="14" t="n">
        <v>240</v>
      </c>
      <c r="F50" s="15"/>
      <c r="G50" s="14" t="n">
        <v>56026.78</v>
      </c>
      <c r="H50" s="0" t="n">
        <f aca="false">H49+F50-E50</f>
        <v>56026.7799999984</v>
      </c>
      <c r="I50" s="10" t="n">
        <f aca="false">H50-G50</f>
        <v>-1.60071067512035E-009</v>
      </c>
    </row>
    <row r="51" customFormat="false" ht="15" hidden="false" customHeight="false" outlineLevel="0" collapsed="false">
      <c r="A51" s="5" t="n">
        <v>6</v>
      </c>
      <c r="B51" s="5" t="s">
        <v>34</v>
      </c>
      <c r="C51" s="6" t="s">
        <v>14</v>
      </c>
      <c r="D51" s="7"/>
      <c r="E51" s="8" t="n">
        <v>210</v>
      </c>
      <c r="F51" s="9"/>
      <c r="G51" s="8" t="n">
        <v>55816.78</v>
      </c>
      <c r="H51" s="0" t="n">
        <f aca="false">H50+F51-E51</f>
        <v>55816.7799999984</v>
      </c>
      <c r="I51" s="10" t="n">
        <f aca="false">H51-G51</f>
        <v>-1.60071067512035E-009</v>
      </c>
    </row>
    <row r="52" customFormat="false" ht="15" hidden="false" customHeight="false" outlineLevel="0" collapsed="false">
      <c r="A52" s="11" t="n">
        <v>6</v>
      </c>
      <c r="B52" s="11" t="s">
        <v>34</v>
      </c>
      <c r="C52" s="12" t="s">
        <v>35</v>
      </c>
      <c r="D52" s="13"/>
      <c r="E52" s="15"/>
      <c r="F52" s="14" t="n">
        <v>40000</v>
      </c>
      <c r="G52" s="14" t="n">
        <v>95816.78</v>
      </c>
      <c r="H52" s="0" t="n">
        <f aca="false">H51+F52-E52</f>
        <v>95816.7799999984</v>
      </c>
      <c r="I52" s="10" t="n">
        <f aca="false">H52-G52</f>
        <v>-1.60071067512035E-009</v>
      </c>
    </row>
    <row r="53" customFormat="false" ht="15" hidden="false" customHeight="false" outlineLevel="0" collapsed="false">
      <c r="A53" s="5" t="n">
        <v>6</v>
      </c>
      <c r="B53" s="5" t="s">
        <v>34</v>
      </c>
      <c r="C53" s="6" t="s">
        <v>35</v>
      </c>
      <c r="D53" s="7"/>
      <c r="E53" s="9"/>
      <c r="F53" s="8" t="n">
        <v>40000</v>
      </c>
      <c r="G53" s="8" t="n">
        <v>135816.78</v>
      </c>
      <c r="H53" s="0" t="n">
        <f aca="false">H52+F53-E53</f>
        <v>135816.779999998</v>
      </c>
      <c r="I53" s="10" t="n">
        <f aca="false">H53-G53</f>
        <v>-1.60071067512035E-009</v>
      </c>
    </row>
    <row r="54" customFormat="false" ht="15" hidden="false" customHeight="false" outlineLevel="0" collapsed="false">
      <c r="A54" s="11" t="n">
        <v>6</v>
      </c>
      <c r="B54" s="11" t="s">
        <v>34</v>
      </c>
      <c r="C54" s="12" t="s">
        <v>35</v>
      </c>
      <c r="D54" s="13"/>
      <c r="E54" s="15"/>
      <c r="F54" s="14" t="n">
        <v>40000</v>
      </c>
      <c r="G54" s="14" t="n">
        <v>175816.78</v>
      </c>
      <c r="H54" s="0" t="n">
        <f aca="false">H53+F54-E54</f>
        <v>175816.779999998</v>
      </c>
      <c r="I54" s="10" t="n">
        <f aca="false">H54-G54</f>
        <v>-1.60071067512035E-009</v>
      </c>
    </row>
    <row r="55" customFormat="false" ht="15" hidden="false" customHeight="false" outlineLevel="0" collapsed="false">
      <c r="A55" s="5" t="n">
        <v>6</v>
      </c>
      <c r="B55" s="5" t="s">
        <v>34</v>
      </c>
      <c r="C55" s="6" t="s">
        <v>35</v>
      </c>
      <c r="D55" s="7"/>
      <c r="E55" s="9"/>
      <c r="F55" s="8" t="n">
        <v>40000</v>
      </c>
      <c r="G55" s="8" t="n">
        <v>215816.78</v>
      </c>
      <c r="H55" s="0" t="n">
        <f aca="false">H54+F55-E55</f>
        <v>215816.779999998</v>
      </c>
      <c r="I55" s="10" t="n">
        <f aca="false">H55-G55</f>
        <v>-1.60071067512035E-009</v>
      </c>
    </row>
    <row r="56" customFormat="false" ht="15" hidden="false" customHeight="false" outlineLevel="0" collapsed="false">
      <c r="A56" s="11" t="n">
        <v>6</v>
      </c>
      <c r="B56" s="11" t="s">
        <v>34</v>
      </c>
      <c r="C56" s="12" t="s">
        <v>35</v>
      </c>
      <c r="D56" s="13"/>
      <c r="E56" s="15"/>
      <c r="F56" s="14" t="n">
        <v>40000</v>
      </c>
      <c r="G56" s="14" t="n">
        <v>255816.78</v>
      </c>
      <c r="H56" s="0" t="n">
        <f aca="false">H55+F56-E56</f>
        <v>255816.779999998</v>
      </c>
      <c r="I56" s="10" t="n">
        <f aca="false">H56-G56</f>
        <v>-1.60071067512035E-009</v>
      </c>
    </row>
    <row r="57" customFormat="false" ht="15" hidden="false" customHeight="false" outlineLevel="0" collapsed="false">
      <c r="A57" s="5" t="n">
        <v>6</v>
      </c>
      <c r="B57" s="5" t="s">
        <v>34</v>
      </c>
      <c r="C57" s="6" t="s">
        <v>35</v>
      </c>
      <c r="D57" s="7"/>
      <c r="E57" s="9"/>
      <c r="F57" s="8" t="n">
        <v>40000</v>
      </c>
      <c r="G57" s="8" t="n">
        <v>295816.78</v>
      </c>
      <c r="H57" s="0" t="n">
        <f aca="false">H56+F57-E57</f>
        <v>295816.779999998</v>
      </c>
      <c r="I57" s="10" t="n">
        <f aca="false">H57-G57</f>
        <v>-1.62981450557709E-009</v>
      </c>
    </row>
    <row r="58" customFormat="false" ht="15" hidden="false" customHeight="false" outlineLevel="0" collapsed="false">
      <c r="A58" s="11" t="n">
        <v>6</v>
      </c>
      <c r="B58" s="11" t="s">
        <v>34</v>
      </c>
      <c r="C58" s="12" t="s">
        <v>35</v>
      </c>
      <c r="D58" s="13"/>
      <c r="E58" s="15"/>
      <c r="F58" s="14" t="n">
        <v>35000</v>
      </c>
      <c r="G58" s="14" t="n">
        <v>330816.78</v>
      </c>
      <c r="H58" s="0" t="n">
        <f aca="false">H57+F58-E58</f>
        <v>330816.779999998</v>
      </c>
      <c r="I58" s="10" t="n">
        <f aca="false">H58-G58</f>
        <v>-1.62981450557709E-009</v>
      </c>
    </row>
    <row r="59" customFormat="false" ht="15" hidden="false" customHeight="false" outlineLevel="0" collapsed="false">
      <c r="A59" s="5" t="n">
        <v>6</v>
      </c>
      <c r="B59" s="5" t="s">
        <v>36</v>
      </c>
      <c r="C59" s="6" t="s">
        <v>13</v>
      </c>
      <c r="D59" s="7"/>
      <c r="E59" s="8" t="n">
        <v>730.08</v>
      </c>
      <c r="F59" s="9"/>
      <c r="G59" s="8" t="n">
        <v>330086.7</v>
      </c>
      <c r="H59" s="0" t="n">
        <f aca="false">H58+F59-E59</f>
        <v>330086.699999998</v>
      </c>
      <c r="I59" s="10" t="n">
        <f aca="false">H59-G59</f>
        <v>-1.62981450557709E-009</v>
      </c>
    </row>
    <row r="60" customFormat="false" ht="15" hidden="false" customHeight="false" outlineLevel="0" collapsed="false">
      <c r="A60" s="11" t="n">
        <v>6</v>
      </c>
      <c r="B60" s="11" t="s">
        <v>36</v>
      </c>
      <c r="C60" s="12" t="s">
        <v>13</v>
      </c>
      <c r="D60" s="13"/>
      <c r="E60" s="14" t="n">
        <v>451</v>
      </c>
      <c r="F60" s="15"/>
      <c r="G60" s="14" t="n">
        <v>329635.7</v>
      </c>
      <c r="H60" s="0" t="n">
        <f aca="false">H59+F60-E60</f>
        <v>329635.699999998</v>
      </c>
      <c r="I60" s="10" t="n">
        <f aca="false">H60-G60</f>
        <v>-1.62981450557709E-009</v>
      </c>
    </row>
    <row r="61" customFormat="false" ht="15" hidden="false" customHeight="false" outlineLevel="0" collapsed="false">
      <c r="A61" s="5" t="n">
        <v>6</v>
      </c>
      <c r="B61" s="5" t="s">
        <v>36</v>
      </c>
      <c r="C61" s="6" t="s">
        <v>13</v>
      </c>
      <c r="D61" s="7"/>
      <c r="E61" s="8" t="n">
        <v>464.54</v>
      </c>
      <c r="F61" s="9"/>
      <c r="G61" s="8" t="n">
        <v>329171.16</v>
      </c>
      <c r="H61" s="0" t="n">
        <f aca="false">H60+F61-E61</f>
        <v>329171.159999998</v>
      </c>
      <c r="I61" s="10" t="n">
        <f aca="false">H61-G61</f>
        <v>-1.57160684466362E-009</v>
      </c>
    </row>
    <row r="62" customFormat="false" ht="15" hidden="false" customHeight="false" outlineLevel="0" collapsed="false">
      <c r="A62" s="11" t="n">
        <v>6</v>
      </c>
      <c r="B62" s="11" t="s">
        <v>36</v>
      </c>
      <c r="C62" s="12" t="s">
        <v>20</v>
      </c>
      <c r="D62" s="13"/>
      <c r="E62" s="14" t="n">
        <v>121680</v>
      </c>
      <c r="F62" s="15"/>
      <c r="G62" s="14" t="n">
        <v>207491.16</v>
      </c>
      <c r="H62" s="0" t="n">
        <f aca="false">H61+F62-E62</f>
        <v>207491.159999998</v>
      </c>
      <c r="I62" s="10" t="n">
        <f aca="false">H62-G62</f>
        <v>-1.60071067512035E-009</v>
      </c>
    </row>
    <row r="63" customFormat="false" ht="15" hidden="false" customHeight="false" outlineLevel="0" collapsed="false">
      <c r="A63" s="5" t="n">
        <v>6</v>
      </c>
      <c r="B63" s="5" t="s">
        <v>36</v>
      </c>
      <c r="C63" s="6" t="s">
        <v>20</v>
      </c>
      <c r="D63" s="7"/>
      <c r="E63" s="8" t="n">
        <v>75167</v>
      </c>
      <c r="F63" s="9"/>
      <c r="G63" s="8" t="n">
        <v>132324.16</v>
      </c>
      <c r="H63" s="0" t="n">
        <f aca="false">H62+F63-E63</f>
        <v>132324.159999998</v>
      </c>
      <c r="I63" s="10" t="n">
        <f aca="false">H63-G63</f>
        <v>-1.60071067512035E-009</v>
      </c>
    </row>
    <row r="64" customFormat="false" ht="15" hidden="false" customHeight="false" outlineLevel="0" collapsed="false">
      <c r="A64" s="11" t="n">
        <v>6</v>
      </c>
      <c r="B64" s="11" t="s">
        <v>36</v>
      </c>
      <c r="C64" s="12" t="s">
        <v>20</v>
      </c>
      <c r="D64" s="13"/>
      <c r="E64" s="14" t="n">
        <v>77423.3</v>
      </c>
      <c r="F64" s="15"/>
      <c r="G64" s="14" t="n">
        <v>54900.86</v>
      </c>
      <c r="H64" s="0" t="n">
        <f aca="false">H63+F64-E64</f>
        <v>54900.8599999984</v>
      </c>
      <c r="I64" s="10" t="n">
        <f aca="false">H64-G64</f>
        <v>-1.60071067512035E-009</v>
      </c>
    </row>
    <row r="65" customFormat="false" ht="15" hidden="false" customHeight="false" outlineLevel="0" collapsed="false">
      <c r="A65" s="5" t="n">
        <v>6</v>
      </c>
      <c r="B65" s="5" t="s">
        <v>37</v>
      </c>
      <c r="C65" s="6" t="s">
        <v>25</v>
      </c>
      <c r="D65" s="7"/>
      <c r="E65" s="9"/>
      <c r="F65" s="8" t="n">
        <v>4600000</v>
      </c>
      <c r="G65" s="8" t="n">
        <v>4654900.86</v>
      </c>
      <c r="H65" s="0" t="n">
        <f aca="false">H64+F65-E65</f>
        <v>4654900.86</v>
      </c>
      <c r="I65" s="10" t="n">
        <f aca="false">H65-G65</f>
        <v>0</v>
      </c>
    </row>
    <row r="66" customFormat="false" ht="15" hidden="false" customHeight="false" outlineLevel="0" collapsed="false">
      <c r="A66" s="11" t="n">
        <v>6</v>
      </c>
      <c r="B66" s="11" t="s">
        <v>37</v>
      </c>
      <c r="C66" s="12" t="s">
        <v>14</v>
      </c>
      <c r="D66" s="13"/>
      <c r="E66" s="14" t="n">
        <v>27600</v>
      </c>
      <c r="F66" s="15"/>
      <c r="G66" s="14" t="n">
        <v>4627300.86</v>
      </c>
      <c r="H66" s="0" t="n">
        <f aca="false">H65+F66-E66</f>
        <v>4627300.86</v>
      </c>
      <c r="I66" s="10" t="n">
        <f aca="false">H66-G66</f>
        <v>0</v>
      </c>
    </row>
    <row r="67" customFormat="false" ht="15" hidden="false" customHeight="false" outlineLevel="0" collapsed="false">
      <c r="A67" s="5" t="n">
        <v>6</v>
      </c>
      <c r="B67" s="5" t="s">
        <v>37</v>
      </c>
      <c r="C67" s="6" t="s">
        <v>23</v>
      </c>
      <c r="D67" s="7"/>
      <c r="E67" s="8" t="n">
        <v>4540000</v>
      </c>
      <c r="F67" s="9"/>
      <c r="G67" s="8" t="n">
        <v>87300.86</v>
      </c>
      <c r="H67" s="0" t="n">
        <f aca="false">H66+F67-E67</f>
        <v>87300.8599999985</v>
      </c>
      <c r="I67" s="10" t="n">
        <f aca="false">H67-G67</f>
        <v>-1.52795109897852E-009</v>
      </c>
    </row>
    <row r="68" customFormat="false" ht="15" hidden="false" customHeight="false" outlineLevel="0" collapsed="false">
      <c r="A68" s="11" t="n">
        <v>6</v>
      </c>
      <c r="B68" s="11" t="s">
        <v>37</v>
      </c>
      <c r="C68" s="12" t="s">
        <v>23</v>
      </c>
      <c r="D68" s="13"/>
      <c r="E68" s="14" t="n">
        <v>100000</v>
      </c>
      <c r="F68" s="15"/>
      <c r="G68" s="14" t="n">
        <v>-12699.14</v>
      </c>
      <c r="H68" s="0" t="n">
        <f aca="false">H67+F68-E68</f>
        <v>-12699.1400000015</v>
      </c>
      <c r="I68" s="10" t="n">
        <f aca="false">H68-G68</f>
        <v>-1.52795109897852E-009</v>
      </c>
    </row>
    <row r="69" customFormat="false" ht="15" hidden="false" customHeight="false" outlineLevel="0" collapsed="false">
      <c r="A69" s="5" t="n">
        <v>6</v>
      </c>
      <c r="B69" s="5" t="s">
        <v>38</v>
      </c>
      <c r="C69" s="6" t="s">
        <v>27</v>
      </c>
      <c r="D69" s="7"/>
      <c r="E69" s="8" t="n">
        <v>936</v>
      </c>
      <c r="F69" s="9"/>
      <c r="G69" s="8" t="n">
        <v>-13635.14</v>
      </c>
      <c r="H69" s="0" t="n">
        <f aca="false">H68+F69-E69</f>
        <v>-13635.1400000015</v>
      </c>
      <c r="I69" s="10" t="n">
        <f aca="false">H69-G69</f>
        <v>-1.52795109897852E-009</v>
      </c>
    </row>
    <row r="70" customFormat="false" ht="15" hidden="false" customHeight="false" outlineLevel="0" collapsed="false">
      <c r="A70" s="11" t="n">
        <v>6</v>
      </c>
      <c r="B70" s="11" t="s">
        <v>38</v>
      </c>
      <c r="C70" s="12" t="s">
        <v>28</v>
      </c>
      <c r="D70" s="13"/>
      <c r="E70" s="14" t="n">
        <v>6552</v>
      </c>
      <c r="F70" s="15"/>
      <c r="G70" s="14" t="n">
        <v>-20187.14</v>
      </c>
      <c r="H70" s="0" t="n">
        <f aca="false">H69+F70-E70</f>
        <v>-20187.1400000015</v>
      </c>
      <c r="I70" s="10" t="n">
        <f aca="false">H70-G70</f>
        <v>-1.52795109897852E-009</v>
      </c>
    </row>
    <row r="71" customFormat="false" ht="15" hidden="false" customHeight="false" outlineLevel="0" collapsed="false">
      <c r="A71" s="5" t="n">
        <v>6</v>
      </c>
      <c r="B71" s="5" t="s">
        <v>38</v>
      </c>
      <c r="C71" s="6" t="s">
        <v>29</v>
      </c>
      <c r="D71" s="7"/>
      <c r="E71" s="8" t="n">
        <v>31200</v>
      </c>
      <c r="F71" s="9"/>
      <c r="G71" s="8" t="n">
        <v>-51387.14</v>
      </c>
      <c r="H71" s="0" t="n">
        <f aca="false">H70+F71-E71</f>
        <v>-51387.1400000015</v>
      </c>
      <c r="I71" s="10" t="n">
        <f aca="false">H71-G71</f>
        <v>-1.52795109897852E-009</v>
      </c>
    </row>
    <row r="72" customFormat="false" ht="15" hidden="false" customHeight="false" outlineLevel="0" collapsed="false">
      <c r="A72" s="11" t="n">
        <v>6</v>
      </c>
      <c r="B72" s="11" t="s">
        <v>38</v>
      </c>
      <c r="C72" s="12" t="s">
        <v>13</v>
      </c>
      <c r="D72" s="13"/>
      <c r="E72" s="14" t="n">
        <v>187.2</v>
      </c>
      <c r="F72" s="15"/>
      <c r="G72" s="14" t="n">
        <v>-51574.34</v>
      </c>
      <c r="H72" s="0" t="n">
        <f aca="false">H71+F72-E72</f>
        <v>-51574.3400000015</v>
      </c>
      <c r="I72" s="10" t="n">
        <f aca="false">H72-G72</f>
        <v>-1.52795109897852E-009</v>
      </c>
    </row>
    <row r="73" customFormat="false" ht="15" hidden="false" customHeight="false" outlineLevel="0" collapsed="false">
      <c r="A73" s="5" t="n">
        <v>6</v>
      </c>
      <c r="B73" s="5" t="s">
        <v>38</v>
      </c>
      <c r="C73" s="6" t="s">
        <v>13</v>
      </c>
      <c r="D73" s="7"/>
      <c r="E73" s="8" t="n">
        <v>39.31</v>
      </c>
      <c r="F73" s="9"/>
      <c r="G73" s="8" t="n">
        <v>-51613.65</v>
      </c>
      <c r="H73" s="0" t="n">
        <f aca="false">H72+F73-E73</f>
        <v>-51613.6500000015</v>
      </c>
      <c r="I73" s="10" t="n">
        <f aca="false">H73-G73</f>
        <v>-1.52067514136434E-009</v>
      </c>
    </row>
    <row r="74" customFormat="false" ht="15" hidden="false" customHeight="false" outlineLevel="0" collapsed="false">
      <c r="A74" s="11" t="n">
        <v>6</v>
      </c>
      <c r="B74" s="11" t="s">
        <v>38</v>
      </c>
      <c r="C74" s="12" t="s">
        <v>13</v>
      </c>
      <c r="D74" s="13"/>
      <c r="E74" s="14" t="n">
        <v>5.62</v>
      </c>
      <c r="F74" s="15"/>
      <c r="G74" s="14" t="n">
        <v>-51619.27</v>
      </c>
      <c r="H74" s="0" t="n">
        <f aca="false">H73+F74-E74</f>
        <v>-51619.2700000015</v>
      </c>
      <c r="I74" s="10" t="n">
        <f aca="false">H74-G74</f>
        <v>-1.52795109897852E-009</v>
      </c>
    </row>
    <row r="75" customFormat="false" ht="15" hidden="false" customHeight="false" outlineLevel="0" collapsed="false">
      <c r="A75" s="5" t="n">
        <v>7</v>
      </c>
      <c r="B75" s="5" t="s">
        <v>39</v>
      </c>
      <c r="C75" s="6" t="s">
        <v>10</v>
      </c>
      <c r="D75" s="7"/>
      <c r="E75" s="8" t="n">
        <v>1804.65</v>
      </c>
      <c r="F75" s="9"/>
      <c r="G75" s="8" t="n">
        <v>-53423.92</v>
      </c>
      <c r="H75" s="0" t="n">
        <f aca="false">H74+F75-E75</f>
        <v>-53423.9200000015</v>
      </c>
      <c r="I75" s="10" t="n">
        <f aca="false">H75-G75</f>
        <v>-1.52795109897852E-009</v>
      </c>
    </row>
    <row r="76" customFormat="false" ht="15" hidden="false" customHeight="false" outlineLevel="0" collapsed="false">
      <c r="A76" s="11" t="n">
        <v>7</v>
      </c>
      <c r="B76" s="11" t="s">
        <v>39</v>
      </c>
      <c r="C76" s="12" t="s">
        <v>11</v>
      </c>
      <c r="D76" s="13"/>
      <c r="E76" s="14" t="n">
        <v>21.87</v>
      </c>
      <c r="F76" s="15"/>
      <c r="G76" s="14" t="n">
        <v>-53445.79</v>
      </c>
      <c r="H76" s="0" t="n">
        <f aca="false">H75+F76-E76</f>
        <v>-53445.7900000015</v>
      </c>
      <c r="I76" s="10" t="n">
        <f aca="false">H76-G76</f>
        <v>-1.52795109897852E-009</v>
      </c>
    </row>
    <row r="77" customFormat="false" ht="15" hidden="false" customHeight="false" outlineLevel="0" collapsed="false">
      <c r="A77" s="5" t="n">
        <v>7</v>
      </c>
      <c r="B77" s="5" t="s">
        <v>39</v>
      </c>
      <c r="C77" s="6" t="s">
        <v>12</v>
      </c>
      <c r="D77" s="7"/>
      <c r="E77" s="8" t="n">
        <v>189.49</v>
      </c>
      <c r="F77" s="9"/>
      <c r="G77" s="8" t="n">
        <v>-53635.28</v>
      </c>
      <c r="H77" s="0" t="n">
        <f aca="false">H76+F77-E77</f>
        <v>-53635.2800000015</v>
      </c>
      <c r="I77" s="10" t="n">
        <f aca="false">H77-G77</f>
        <v>-1.52795109897852E-009</v>
      </c>
    </row>
    <row r="78" customFormat="false" ht="15" hidden="false" customHeight="false" outlineLevel="0" collapsed="false">
      <c r="A78" s="11" t="n">
        <v>7</v>
      </c>
      <c r="B78" s="11" t="s">
        <v>39</v>
      </c>
      <c r="C78" s="12" t="s">
        <v>13</v>
      </c>
      <c r="D78" s="13"/>
      <c r="E78" s="14" t="n">
        <v>10.83</v>
      </c>
      <c r="F78" s="15"/>
      <c r="G78" s="14" t="n">
        <v>-53646.11</v>
      </c>
      <c r="H78" s="0" t="n">
        <f aca="false">H77+F78-E78</f>
        <v>-53646.1100000015</v>
      </c>
      <c r="I78" s="10" t="n">
        <f aca="false">H78-G78</f>
        <v>-1.52795109897852E-009</v>
      </c>
    </row>
    <row r="79" customFormat="false" ht="15" hidden="false" customHeight="false" outlineLevel="0" collapsed="false">
      <c r="A79" s="5" t="n">
        <v>7</v>
      </c>
      <c r="B79" s="5" t="s">
        <v>39</v>
      </c>
      <c r="C79" s="6" t="s">
        <v>13</v>
      </c>
      <c r="D79" s="7"/>
      <c r="E79" s="8" t="n">
        <v>1.14</v>
      </c>
      <c r="F79" s="9"/>
      <c r="G79" s="8" t="n">
        <v>-53647.25</v>
      </c>
      <c r="H79" s="0" t="n">
        <f aca="false">H78+F79-E79</f>
        <v>-53647.2500000015</v>
      </c>
      <c r="I79" s="10" t="n">
        <f aca="false">H79-G79</f>
        <v>-1.52795109897852E-009</v>
      </c>
    </row>
    <row r="80" customFormat="false" ht="15" hidden="false" customHeight="false" outlineLevel="0" collapsed="false">
      <c r="A80" s="11" t="n">
        <v>7</v>
      </c>
      <c r="B80" s="11" t="s">
        <v>39</v>
      </c>
      <c r="C80" s="12" t="s">
        <v>13</v>
      </c>
      <c r="D80" s="13"/>
      <c r="E80" s="14" t="n">
        <v>0.13</v>
      </c>
      <c r="F80" s="15"/>
      <c r="G80" s="14" t="n">
        <v>-53647.38</v>
      </c>
      <c r="H80" s="0" t="n">
        <f aca="false">H79+F80-E80</f>
        <v>-53647.3800000015</v>
      </c>
      <c r="I80" s="10" t="n">
        <f aca="false">H80-G80</f>
        <v>-1.52795109897852E-009</v>
      </c>
    </row>
    <row r="81" customFormat="false" ht="15" hidden="false" customHeight="false" outlineLevel="0" collapsed="false">
      <c r="A81" s="5" t="n">
        <v>7</v>
      </c>
      <c r="B81" s="5" t="s">
        <v>40</v>
      </c>
      <c r="C81" s="6" t="s">
        <v>25</v>
      </c>
      <c r="D81" s="7"/>
      <c r="E81" s="9"/>
      <c r="F81" s="8" t="n">
        <v>425000</v>
      </c>
      <c r="G81" s="8" t="n">
        <v>371352.62</v>
      </c>
      <c r="H81" s="0" t="n">
        <f aca="false">H80+F81-E81</f>
        <v>371352.619999999</v>
      </c>
      <c r="I81" s="10" t="n">
        <f aca="false">H81-G81</f>
        <v>-1.51339918375015E-009</v>
      </c>
    </row>
    <row r="82" customFormat="false" ht="15" hidden="false" customHeight="false" outlineLevel="0" collapsed="false">
      <c r="A82" s="11" t="n">
        <v>7</v>
      </c>
      <c r="B82" s="11" t="s">
        <v>40</v>
      </c>
      <c r="C82" s="12" t="s">
        <v>13</v>
      </c>
      <c r="D82" s="13"/>
      <c r="E82" s="14" t="n">
        <v>731.06</v>
      </c>
      <c r="F82" s="15"/>
      <c r="G82" s="14" t="n">
        <v>370621.56</v>
      </c>
      <c r="H82" s="0" t="n">
        <f aca="false">H81+F82-E82</f>
        <v>370621.559999999</v>
      </c>
      <c r="I82" s="10" t="n">
        <f aca="false">H82-G82</f>
        <v>-1.51339918375015E-009</v>
      </c>
    </row>
    <row r="83" customFormat="false" ht="15" hidden="false" customHeight="false" outlineLevel="0" collapsed="false">
      <c r="A83" s="5" t="n">
        <v>7</v>
      </c>
      <c r="B83" s="5" t="s">
        <v>40</v>
      </c>
      <c r="C83" s="6" t="s">
        <v>13</v>
      </c>
      <c r="D83" s="7"/>
      <c r="E83" s="8" t="n">
        <v>923.77</v>
      </c>
      <c r="F83" s="9"/>
      <c r="G83" s="8" t="n">
        <v>369697.79</v>
      </c>
      <c r="H83" s="0" t="n">
        <f aca="false">H82+F83-E83</f>
        <v>369697.789999998</v>
      </c>
      <c r="I83" s="10" t="n">
        <f aca="false">H83-G83</f>
        <v>-1.51339918375015E-009</v>
      </c>
    </row>
    <row r="84" customFormat="false" ht="15" hidden="false" customHeight="false" outlineLevel="0" collapsed="false">
      <c r="A84" s="11" t="n">
        <v>7</v>
      </c>
      <c r="B84" s="11" t="s">
        <v>40</v>
      </c>
      <c r="C84" s="12" t="s">
        <v>13</v>
      </c>
      <c r="D84" s="13"/>
      <c r="E84" s="14" t="n">
        <v>3.11</v>
      </c>
      <c r="F84" s="15"/>
      <c r="G84" s="14" t="n">
        <v>369694.68</v>
      </c>
      <c r="H84" s="0" t="n">
        <f aca="false">H83+F84-E84</f>
        <v>369694.679999999</v>
      </c>
      <c r="I84" s="10" t="n">
        <f aca="false">H84-G84</f>
        <v>-1.51339918375015E-009</v>
      </c>
    </row>
    <row r="85" customFormat="false" ht="15" hidden="false" customHeight="false" outlineLevel="0" collapsed="false">
      <c r="A85" s="5" t="n">
        <v>7</v>
      </c>
      <c r="B85" s="5" t="s">
        <v>40</v>
      </c>
      <c r="C85" s="6" t="s">
        <v>14</v>
      </c>
      <c r="D85" s="7"/>
      <c r="E85" s="8" t="n">
        <v>2550</v>
      </c>
      <c r="F85" s="9"/>
      <c r="G85" s="8" t="n">
        <v>367144.68</v>
      </c>
      <c r="H85" s="0" t="n">
        <f aca="false">H84+F85-E85</f>
        <v>367144.679999999</v>
      </c>
      <c r="I85" s="10" t="n">
        <f aca="false">H85-G85</f>
        <v>-1.51339918375015E-009</v>
      </c>
    </row>
    <row r="86" customFormat="false" ht="15" hidden="false" customHeight="false" outlineLevel="0" collapsed="false">
      <c r="A86" s="11" t="n">
        <v>7</v>
      </c>
      <c r="B86" s="11" t="s">
        <v>40</v>
      </c>
      <c r="C86" s="12" t="s">
        <v>20</v>
      </c>
      <c r="D86" s="13"/>
      <c r="E86" s="14" t="n">
        <v>121843.86</v>
      </c>
      <c r="F86" s="15"/>
      <c r="G86" s="14" t="n">
        <v>245300.82</v>
      </c>
      <c r="H86" s="0" t="n">
        <f aca="false">H85+F86-E86</f>
        <v>245300.819999999</v>
      </c>
      <c r="I86" s="10" t="n">
        <f aca="false">H86-G86</f>
        <v>-1.51339918375015E-009</v>
      </c>
    </row>
    <row r="87" customFormat="false" ht="15" hidden="false" customHeight="false" outlineLevel="0" collapsed="false">
      <c r="A87" s="5" t="n">
        <v>7</v>
      </c>
      <c r="B87" s="5" t="s">
        <v>40</v>
      </c>
      <c r="C87" s="6" t="s">
        <v>20</v>
      </c>
      <c r="D87" s="7"/>
      <c r="E87" s="8" t="n">
        <v>153960.88</v>
      </c>
      <c r="F87" s="9"/>
      <c r="G87" s="8" t="n">
        <v>91339.94</v>
      </c>
      <c r="H87" s="0" t="n">
        <f aca="false">H86+F87-E87</f>
        <v>91339.9399999985</v>
      </c>
      <c r="I87" s="10" t="n">
        <f aca="false">H87-G87</f>
        <v>-1.51339918375015E-009</v>
      </c>
    </row>
    <row r="88" customFormat="false" ht="15" hidden="false" customHeight="false" outlineLevel="0" collapsed="false">
      <c r="A88" s="11" t="n">
        <v>7</v>
      </c>
      <c r="B88" s="11" t="s">
        <v>40</v>
      </c>
      <c r="C88" s="12" t="s">
        <v>20</v>
      </c>
      <c r="D88" s="13"/>
      <c r="E88" s="14" t="n">
        <v>518.21</v>
      </c>
      <c r="F88" s="15"/>
      <c r="G88" s="14" t="n">
        <v>90821.73</v>
      </c>
      <c r="H88" s="0" t="n">
        <f aca="false">H87+F88-E88</f>
        <v>90821.7299999985</v>
      </c>
      <c r="I88" s="10" t="n">
        <f aca="false">H88-G88</f>
        <v>-1.51339918375015E-009</v>
      </c>
    </row>
    <row r="89" customFormat="false" ht="15" hidden="false" customHeight="false" outlineLevel="0" collapsed="false">
      <c r="A89" s="5" t="n">
        <v>7</v>
      </c>
      <c r="B89" s="5" t="s">
        <v>40</v>
      </c>
      <c r="C89" s="6" t="s">
        <v>23</v>
      </c>
      <c r="D89" s="7"/>
      <c r="E89" s="8" t="n">
        <v>90000</v>
      </c>
      <c r="F89" s="9"/>
      <c r="G89" s="8" t="n">
        <v>821.73</v>
      </c>
      <c r="H89" s="0" t="n">
        <f aca="false">H88+F89-E89</f>
        <v>821.729999998483</v>
      </c>
      <c r="I89" s="10" t="n">
        <f aca="false">H89-G89</f>
        <v>-1.51749190990813E-009</v>
      </c>
    </row>
    <row r="90" customFormat="false" ht="15" hidden="false" customHeight="false" outlineLevel="0" collapsed="false">
      <c r="A90" s="11" t="n">
        <v>7</v>
      </c>
      <c r="B90" s="11" t="s">
        <v>41</v>
      </c>
      <c r="C90" s="12" t="s">
        <v>25</v>
      </c>
      <c r="D90" s="13"/>
      <c r="E90" s="15"/>
      <c r="F90" s="14" t="n">
        <v>2400000</v>
      </c>
      <c r="G90" s="14" t="n">
        <v>2400821.73</v>
      </c>
      <c r="H90" s="0" t="n">
        <f aca="false">H89+F90-E90</f>
        <v>2400821.73</v>
      </c>
      <c r="I90" s="10" t="n">
        <f aca="false">H90-G90</f>
        <v>0</v>
      </c>
    </row>
    <row r="91" customFormat="false" ht="15" hidden="false" customHeight="false" outlineLevel="0" collapsed="false">
      <c r="A91" s="5" t="n">
        <v>7</v>
      </c>
      <c r="B91" s="5" t="s">
        <v>41</v>
      </c>
      <c r="C91" s="6" t="s">
        <v>14</v>
      </c>
      <c r="D91" s="7"/>
      <c r="E91" s="8" t="n">
        <v>14400</v>
      </c>
      <c r="F91" s="9"/>
      <c r="G91" s="8" t="n">
        <v>2386421.73</v>
      </c>
      <c r="H91" s="0" t="n">
        <f aca="false">H90+F91-E91</f>
        <v>2386421.73</v>
      </c>
      <c r="I91" s="10" t="n">
        <f aca="false">H91-G91</f>
        <v>0</v>
      </c>
    </row>
    <row r="92" customFormat="false" ht="15" hidden="false" customHeight="false" outlineLevel="0" collapsed="false">
      <c r="A92" s="11" t="n">
        <v>7</v>
      </c>
      <c r="B92" s="11" t="s">
        <v>41</v>
      </c>
      <c r="C92" s="12" t="s">
        <v>23</v>
      </c>
      <c r="D92" s="13"/>
      <c r="E92" s="14" t="n">
        <v>2400000</v>
      </c>
      <c r="F92" s="15"/>
      <c r="G92" s="14" t="n">
        <v>-13578.27</v>
      </c>
      <c r="H92" s="0" t="n">
        <f aca="false">H91+F92-E92</f>
        <v>-13578.2700000014</v>
      </c>
      <c r="I92" s="10" t="n">
        <f aca="false">H92-G92</f>
        <v>-1.41517375595868E-009</v>
      </c>
    </row>
    <row r="93" customFormat="false" ht="15" hidden="false" customHeight="false" outlineLevel="0" collapsed="false">
      <c r="A93" s="5" t="n">
        <v>7</v>
      </c>
      <c r="B93" s="5" t="s">
        <v>42</v>
      </c>
      <c r="C93" s="6" t="s">
        <v>27</v>
      </c>
      <c r="D93" s="7"/>
      <c r="E93" s="8" t="n">
        <v>177.54</v>
      </c>
      <c r="F93" s="9"/>
      <c r="G93" s="8" t="n">
        <v>-13755.81</v>
      </c>
      <c r="H93" s="0" t="n">
        <f aca="false">H92+F93-E93</f>
        <v>-13755.8100000014</v>
      </c>
      <c r="I93" s="10" t="n">
        <f aca="false">H93-G93</f>
        <v>-1.41699274536222E-009</v>
      </c>
    </row>
    <row r="94" customFormat="false" ht="15" hidden="false" customHeight="false" outlineLevel="0" collapsed="false">
      <c r="A94" s="11" t="n">
        <v>7</v>
      </c>
      <c r="B94" s="11" t="s">
        <v>42</v>
      </c>
      <c r="C94" s="12" t="s">
        <v>27</v>
      </c>
      <c r="D94" s="13"/>
      <c r="E94" s="14" t="n">
        <v>177.54</v>
      </c>
      <c r="F94" s="15"/>
      <c r="G94" s="14" t="n">
        <v>-13933.35</v>
      </c>
      <c r="H94" s="0" t="n">
        <f aca="false">H93+F94-E94</f>
        <v>-13933.3500000014</v>
      </c>
      <c r="I94" s="10" t="n">
        <f aca="false">H94-G94</f>
        <v>-1.41699274536222E-009</v>
      </c>
    </row>
    <row r="95" customFormat="false" ht="15" hidden="false" customHeight="false" outlineLevel="0" collapsed="false">
      <c r="A95" s="5" t="n">
        <v>7</v>
      </c>
      <c r="B95" s="5" t="s">
        <v>42</v>
      </c>
      <c r="C95" s="6" t="s">
        <v>27</v>
      </c>
      <c r="D95" s="7"/>
      <c r="E95" s="8" t="n">
        <v>175.83</v>
      </c>
      <c r="F95" s="9"/>
      <c r="G95" s="8" t="n">
        <v>-14109.18</v>
      </c>
      <c r="H95" s="0" t="n">
        <f aca="false">H94+F95-E95</f>
        <v>-14109.1800000014</v>
      </c>
      <c r="I95" s="10" t="n">
        <f aca="false">H95-G95</f>
        <v>-1.41699274536222E-009</v>
      </c>
    </row>
    <row r="96" customFormat="false" ht="15" hidden="false" customHeight="false" outlineLevel="0" collapsed="false">
      <c r="A96" s="11" t="n">
        <v>7</v>
      </c>
      <c r="B96" s="11" t="s">
        <v>42</v>
      </c>
      <c r="C96" s="12" t="s">
        <v>27</v>
      </c>
      <c r="D96" s="13"/>
      <c r="E96" s="14" t="n">
        <v>175.83</v>
      </c>
      <c r="F96" s="15"/>
      <c r="G96" s="14" t="n">
        <v>-14285.01</v>
      </c>
      <c r="H96" s="0" t="n">
        <f aca="false">H95+F96-E96</f>
        <v>-14285.0100000014</v>
      </c>
      <c r="I96" s="10" t="n">
        <f aca="false">H96-G96</f>
        <v>-1.41699274536222E-009</v>
      </c>
    </row>
    <row r="97" customFormat="false" ht="15" hidden="false" customHeight="false" outlineLevel="0" collapsed="false">
      <c r="A97" s="5" t="n">
        <v>7</v>
      </c>
      <c r="B97" s="5" t="s">
        <v>42</v>
      </c>
      <c r="C97" s="6" t="s">
        <v>27</v>
      </c>
      <c r="D97" s="7"/>
      <c r="E97" s="8" t="n">
        <v>187.47</v>
      </c>
      <c r="F97" s="9"/>
      <c r="G97" s="8" t="n">
        <v>-14472.48</v>
      </c>
      <c r="H97" s="0" t="n">
        <f aca="false">H96+F97-E97</f>
        <v>-14472.4800000014</v>
      </c>
      <c r="I97" s="10" t="n">
        <f aca="false">H97-G97</f>
        <v>-1.41699274536222E-009</v>
      </c>
    </row>
    <row r="98" customFormat="false" ht="15" hidden="false" customHeight="false" outlineLevel="0" collapsed="false">
      <c r="A98" s="11" t="n">
        <v>7</v>
      </c>
      <c r="B98" s="11" t="s">
        <v>42</v>
      </c>
      <c r="C98" s="12" t="s">
        <v>27</v>
      </c>
      <c r="D98" s="13"/>
      <c r="E98" s="14" t="n">
        <v>187.47</v>
      </c>
      <c r="F98" s="15"/>
      <c r="G98" s="14" t="n">
        <v>-14659.95</v>
      </c>
      <c r="H98" s="0" t="n">
        <f aca="false">H97+F98-E98</f>
        <v>-14659.9500000014</v>
      </c>
      <c r="I98" s="10" t="n">
        <f aca="false">H98-G98</f>
        <v>-1.41517375595868E-009</v>
      </c>
    </row>
    <row r="99" customFormat="false" ht="15" hidden="false" customHeight="false" outlineLevel="0" collapsed="false">
      <c r="A99" s="5" t="n">
        <v>7</v>
      </c>
      <c r="B99" s="5" t="s">
        <v>42</v>
      </c>
      <c r="C99" s="6" t="s">
        <v>28</v>
      </c>
      <c r="D99" s="7"/>
      <c r="E99" s="8" t="n">
        <v>1242.79</v>
      </c>
      <c r="F99" s="9"/>
      <c r="G99" s="8" t="n">
        <v>-15902.74</v>
      </c>
      <c r="H99" s="0" t="n">
        <f aca="false">H98+F99-E99</f>
        <v>-15902.7400000014</v>
      </c>
      <c r="I99" s="10" t="n">
        <f aca="false">H99-G99</f>
        <v>-1.41699274536222E-009</v>
      </c>
    </row>
    <row r="100" customFormat="false" ht="15" hidden="false" customHeight="false" outlineLevel="0" collapsed="false">
      <c r="A100" s="11" t="n">
        <v>7</v>
      </c>
      <c r="B100" s="11" t="s">
        <v>42</v>
      </c>
      <c r="C100" s="12" t="s">
        <v>28</v>
      </c>
      <c r="D100" s="13"/>
      <c r="E100" s="14" t="n">
        <v>1242.79</v>
      </c>
      <c r="F100" s="15"/>
      <c r="G100" s="14" t="n">
        <v>-17145.53</v>
      </c>
      <c r="H100" s="0" t="n">
        <f aca="false">H99+F100-E100</f>
        <v>-17145.5300000014</v>
      </c>
      <c r="I100" s="10" t="n">
        <f aca="false">H100-G100</f>
        <v>-1.41881173476577E-009</v>
      </c>
    </row>
    <row r="101" customFormat="false" ht="15" hidden="false" customHeight="false" outlineLevel="0" collapsed="false">
      <c r="A101" s="5" t="n">
        <v>7</v>
      </c>
      <c r="B101" s="5" t="s">
        <v>42</v>
      </c>
      <c r="C101" s="6" t="s">
        <v>28</v>
      </c>
      <c r="D101" s="7"/>
      <c r="E101" s="8" t="n">
        <v>1230.78</v>
      </c>
      <c r="F101" s="9"/>
      <c r="G101" s="8" t="n">
        <v>-18376.31</v>
      </c>
      <c r="H101" s="0" t="n">
        <f aca="false">H100+F101-E101</f>
        <v>-18376.3100000014</v>
      </c>
      <c r="I101" s="10" t="n">
        <f aca="false">H101-G101</f>
        <v>-1.41517375595868E-009</v>
      </c>
    </row>
    <row r="102" customFormat="false" ht="15" hidden="false" customHeight="false" outlineLevel="0" collapsed="false">
      <c r="A102" s="11" t="n">
        <v>7</v>
      </c>
      <c r="B102" s="11" t="s">
        <v>42</v>
      </c>
      <c r="C102" s="12" t="s">
        <v>28</v>
      </c>
      <c r="D102" s="13"/>
      <c r="E102" s="14" t="n">
        <v>1230.79</v>
      </c>
      <c r="F102" s="15"/>
      <c r="G102" s="14" t="n">
        <v>-19607.1</v>
      </c>
      <c r="H102" s="0" t="n">
        <f aca="false">H101+F102-E102</f>
        <v>-19607.1000000014</v>
      </c>
      <c r="I102" s="10" t="n">
        <f aca="false">H102-G102</f>
        <v>-1.41881173476577E-009</v>
      </c>
    </row>
    <row r="103" customFormat="false" ht="15" hidden="false" customHeight="false" outlineLevel="0" collapsed="false">
      <c r="A103" s="5" t="n">
        <v>7</v>
      </c>
      <c r="B103" s="5" t="s">
        <v>42</v>
      </c>
      <c r="C103" s="6" t="s">
        <v>28</v>
      </c>
      <c r="D103" s="7"/>
      <c r="E103" s="8" t="n">
        <v>1312.29</v>
      </c>
      <c r="F103" s="9"/>
      <c r="G103" s="8" t="n">
        <v>-20919.39</v>
      </c>
      <c r="H103" s="0" t="n">
        <f aca="false">H102+F103-E103</f>
        <v>-20919.3900000014</v>
      </c>
      <c r="I103" s="10" t="n">
        <f aca="false">H103-G103</f>
        <v>-1.41881173476577E-009</v>
      </c>
    </row>
    <row r="104" customFormat="false" ht="15" hidden="false" customHeight="false" outlineLevel="0" collapsed="false">
      <c r="A104" s="11" t="n">
        <v>7</v>
      </c>
      <c r="B104" s="11" t="s">
        <v>42</v>
      </c>
      <c r="C104" s="12" t="s">
        <v>28</v>
      </c>
      <c r="D104" s="13"/>
      <c r="E104" s="14" t="n">
        <v>1312.29</v>
      </c>
      <c r="F104" s="15"/>
      <c r="G104" s="14" t="n">
        <v>-22231.68</v>
      </c>
      <c r="H104" s="0" t="n">
        <f aca="false">H103+F104-E104</f>
        <v>-22231.6800000014</v>
      </c>
      <c r="I104" s="10" t="n">
        <f aca="false">H104-G104</f>
        <v>-1.41881173476577E-009</v>
      </c>
    </row>
    <row r="105" customFormat="false" ht="15" hidden="false" customHeight="false" outlineLevel="0" collapsed="false">
      <c r="A105" s="5" t="n">
        <v>7</v>
      </c>
      <c r="B105" s="5" t="s">
        <v>42</v>
      </c>
      <c r="C105" s="6" t="s">
        <v>43</v>
      </c>
      <c r="D105" s="7"/>
      <c r="E105" s="8" t="n">
        <v>5918.05</v>
      </c>
      <c r="F105" s="9"/>
      <c r="G105" s="8" t="n">
        <v>-28149.73</v>
      </c>
      <c r="H105" s="0" t="n">
        <f aca="false">H104+F105-E105</f>
        <v>-28149.7300000014</v>
      </c>
      <c r="I105" s="10" t="n">
        <f aca="false">H105-G105</f>
        <v>-1.41881173476577E-009</v>
      </c>
    </row>
    <row r="106" customFormat="false" ht="15" hidden="false" customHeight="false" outlineLevel="0" collapsed="false">
      <c r="A106" s="11" t="n">
        <v>7</v>
      </c>
      <c r="B106" s="11" t="s">
        <v>42</v>
      </c>
      <c r="C106" s="12" t="s">
        <v>43</v>
      </c>
      <c r="D106" s="13"/>
      <c r="E106" s="14" t="n">
        <v>5918.06</v>
      </c>
      <c r="F106" s="15"/>
      <c r="G106" s="14" t="n">
        <v>-34067.79</v>
      </c>
      <c r="H106" s="0" t="n">
        <f aca="false">H105+F106-E106</f>
        <v>-34067.7900000014</v>
      </c>
      <c r="I106" s="10" t="n">
        <f aca="false">H106-G106</f>
        <v>-1.41881173476577E-009</v>
      </c>
    </row>
    <row r="107" customFormat="false" ht="15" hidden="false" customHeight="false" outlineLevel="0" collapsed="false">
      <c r="A107" s="5" t="n">
        <v>7</v>
      </c>
      <c r="B107" s="5" t="s">
        <v>42</v>
      </c>
      <c r="C107" s="6" t="s">
        <v>43</v>
      </c>
      <c r="D107" s="7"/>
      <c r="E107" s="8" t="n">
        <v>5860.86</v>
      </c>
      <c r="F107" s="9"/>
      <c r="G107" s="8" t="n">
        <v>-39928.65</v>
      </c>
      <c r="H107" s="0" t="n">
        <f aca="false">H106+F107-E107</f>
        <v>-39928.6500000014</v>
      </c>
      <c r="I107" s="10" t="n">
        <f aca="false">H107-G107</f>
        <v>-1.41881173476577E-009</v>
      </c>
    </row>
    <row r="108" customFormat="false" ht="15" hidden="false" customHeight="false" outlineLevel="0" collapsed="false">
      <c r="A108" s="11" t="n">
        <v>7</v>
      </c>
      <c r="B108" s="11" t="s">
        <v>42</v>
      </c>
      <c r="C108" s="12" t="s">
        <v>43</v>
      </c>
      <c r="D108" s="13"/>
      <c r="E108" s="14" t="n">
        <v>5860.89</v>
      </c>
      <c r="F108" s="15"/>
      <c r="G108" s="14" t="n">
        <v>-45789.54</v>
      </c>
      <c r="H108" s="0" t="n">
        <f aca="false">H107+F108-E108</f>
        <v>-45789.5400000014</v>
      </c>
      <c r="I108" s="10" t="n">
        <f aca="false">H108-G108</f>
        <v>-1.41881173476577E-009</v>
      </c>
    </row>
    <row r="109" customFormat="false" ht="15" hidden="false" customHeight="false" outlineLevel="0" collapsed="false">
      <c r="A109" s="5" t="n">
        <v>7</v>
      </c>
      <c r="B109" s="5" t="s">
        <v>42</v>
      </c>
      <c r="C109" s="6" t="s">
        <v>43</v>
      </c>
      <c r="D109" s="7"/>
      <c r="E109" s="8" t="n">
        <v>6248.98</v>
      </c>
      <c r="F109" s="9"/>
      <c r="G109" s="8" t="n">
        <v>-52038.52</v>
      </c>
      <c r="H109" s="0" t="n">
        <f aca="false">H108+F109-E109</f>
        <v>-52038.5200000014</v>
      </c>
      <c r="I109" s="10" t="n">
        <f aca="false">H109-G109</f>
        <v>-1.41881173476577E-009</v>
      </c>
    </row>
    <row r="110" customFormat="false" ht="15" hidden="false" customHeight="false" outlineLevel="0" collapsed="false">
      <c r="A110" s="11" t="n">
        <v>7</v>
      </c>
      <c r="B110" s="11" t="s">
        <v>42</v>
      </c>
      <c r="C110" s="12" t="s">
        <v>43</v>
      </c>
      <c r="D110" s="13"/>
      <c r="E110" s="14" t="n">
        <v>6249</v>
      </c>
      <c r="F110" s="15"/>
      <c r="G110" s="14" t="n">
        <v>-58287.52</v>
      </c>
      <c r="H110" s="0" t="n">
        <f aca="false">H109+F110-E110</f>
        <v>-58287.5200000014</v>
      </c>
      <c r="I110" s="10" t="n">
        <f aca="false">H110-G110</f>
        <v>-1.41881173476577E-009</v>
      </c>
    </row>
    <row r="111" customFormat="false" ht="15" hidden="false" customHeight="false" outlineLevel="0" collapsed="false">
      <c r="A111" s="5" t="n">
        <v>7</v>
      </c>
      <c r="B111" s="5" t="s">
        <v>42</v>
      </c>
      <c r="C111" s="6" t="s">
        <v>13</v>
      </c>
      <c r="D111" s="7"/>
      <c r="E111" s="8" t="n">
        <v>35.51</v>
      </c>
      <c r="F111" s="9"/>
      <c r="G111" s="8" t="n">
        <v>-58323.03</v>
      </c>
      <c r="H111" s="0" t="n">
        <f aca="false">H110+F111-E111</f>
        <v>-58323.0300000014</v>
      </c>
      <c r="I111" s="10" t="n">
        <f aca="false">H111-G111</f>
        <v>-1.41881173476577E-009</v>
      </c>
    </row>
    <row r="112" customFormat="false" ht="15" hidden="false" customHeight="false" outlineLevel="0" collapsed="false">
      <c r="A112" s="11" t="n">
        <v>7</v>
      </c>
      <c r="B112" s="11" t="s">
        <v>42</v>
      </c>
      <c r="C112" s="12" t="s">
        <v>13</v>
      </c>
      <c r="D112" s="13"/>
      <c r="E112" s="14" t="n">
        <v>7.46</v>
      </c>
      <c r="F112" s="15"/>
      <c r="G112" s="14" t="n">
        <v>-58330.49</v>
      </c>
      <c r="H112" s="0" t="n">
        <f aca="false">H111+F112-E112</f>
        <v>-58330.4900000014</v>
      </c>
      <c r="I112" s="10" t="n">
        <f aca="false">H112-G112</f>
        <v>-1.41881173476577E-009</v>
      </c>
    </row>
    <row r="113" customFormat="false" ht="15" hidden="false" customHeight="false" outlineLevel="0" collapsed="false">
      <c r="A113" s="5" t="n">
        <v>7</v>
      </c>
      <c r="B113" s="5" t="s">
        <v>42</v>
      </c>
      <c r="C113" s="6" t="s">
        <v>13</v>
      </c>
      <c r="D113" s="7"/>
      <c r="E113" s="8" t="n">
        <v>1.07</v>
      </c>
      <c r="F113" s="9"/>
      <c r="G113" s="8" t="n">
        <v>-58331.56</v>
      </c>
      <c r="H113" s="0" t="n">
        <f aca="false">H112+F113-E113</f>
        <v>-58331.5600000014</v>
      </c>
      <c r="I113" s="10" t="n">
        <f aca="false">H113-G113</f>
        <v>-1.41881173476577E-009</v>
      </c>
    </row>
    <row r="114" customFormat="false" ht="15" hidden="false" customHeight="false" outlineLevel="0" collapsed="false">
      <c r="A114" s="11" t="n">
        <v>7</v>
      </c>
      <c r="B114" s="11" t="s">
        <v>42</v>
      </c>
      <c r="C114" s="12" t="s">
        <v>13</v>
      </c>
      <c r="D114" s="13"/>
      <c r="E114" s="14" t="n">
        <v>35.51</v>
      </c>
      <c r="F114" s="15"/>
      <c r="G114" s="14" t="n">
        <v>-58367.07</v>
      </c>
      <c r="H114" s="0" t="n">
        <f aca="false">H113+F114-E114</f>
        <v>-58367.0700000014</v>
      </c>
      <c r="I114" s="10" t="n">
        <f aca="false">H114-G114</f>
        <v>-1.41881173476577E-009</v>
      </c>
    </row>
    <row r="115" customFormat="false" ht="15" hidden="false" customHeight="false" outlineLevel="0" collapsed="false">
      <c r="A115" s="5" t="n">
        <v>7</v>
      </c>
      <c r="B115" s="5" t="s">
        <v>42</v>
      </c>
      <c r="C115" s="6" t="s">
        <v>13</v>
      </c>
      <c r="D115" s="7"/>
      <c r="E115" s="8" t="n">
        <v>7.46</v>
      </c>
      <c r="F115" s="9"/>
      <c r="G115" s="8" t="n">
        <v>-58374.53</v>
      </c>
      <c r="H115" s="0" t="n">
        <f aca="false">H114+F115-E115</f>
        <v>-58374.5300000014</v>
      </c>
      <c r="I115" s="10" t="n">
        <f aca="false">H115-G115</f>
        <v>-1.41881173476577E-009</v>
      </c>
    </row>
    <row r="116" customFormat="false" ht="15" hidden="false" customHeight="false" outlineLevel="0" collapsed="false">
      <c r="A116" s="11" t="n">
        <v>7</v>
      </c>
      <c r="B116" s="11" t="s">
        <v>42</v>
      </c>
      <c r="C116" s="12" t="s">
        <v>13</v>
      </c>
      <c r="D116" s="13"/>
      <c r="E116" s="14" t="n">
        <v>1.07</v>
      </c>
      <c r="F116" s="15"/>
      <c r="G116" s="14" t="n">
        <v>-58375.6</v>
      </c>
      <c r="H116" s="0" t="n">
        <f aca="false">H115+F116-E116</f>
        <v>-58375.6000000014</v>
      </c>
      <c r="I116" s="10" t="n">
        <f aca="false">H116-G116</f>
        <v>-1.41881173476577E-009</v>
      </c>
    </row>
    <row r="117" customFormat="false" ht="15" hidden="false" customHeight="false" outlineLevel="0" collapsed="false">
      <c r="A117" s="5" t="n">
        <v>7</v>
      </c>
      <c r="B117" s="5" t="s">
        <v>42</v>
      </c>
      <c r="C117" s="6" t="s">
        <v>13</v>
      </c>
      <c r="D117" s="7"/>
      <c r="E117" s="8" t="n">
        <v>35.17</v>
      </c>
      <c r="F117" s="9"/>
      <c r="G117" s="8" t="n">
        <v>-58410.77</v>
      </c>
      <c r="H117" s="0" t="n">
        <f aca="false">H116+F117-E117</f>
        <v>-58410.7700000014</v>
      </c>
      <c r="I117" s="10" t="n">
        <f aca="false">H117-G117</f>
        <v>-1.41881173476577E-009</v>
      </c>
    </row>
    <row r="118" customFormat="false" ht="15" hidden="false" customHeight="false" outlineLevel="0" collapsed="false">
      <c r="A118" s="11" t="n">
        <v>7</v>
      </c>
      <c r="B118" s="11" t="s">
        <v>42</v>
      </c>
      <c r="C118" s="12" t="s">
        <v>13</v>
      </c>
      <c r="D118" s="13"/>
      <c r="E118" s="14" t="n">
        <v>7.38</v>
      </c>
      <c r="F118" s="15"/>
      <c r="G118" s="14" t="n">
        <v>-58418.15</v>
      </c>
      <c r="H118" s="0" t="n">
        <f aca="false">H117+F118-E118</f>
        <v>-58418.1500000014</v>
      </c>
      <c r="I118" s="10" t="n">
        <f aca="false">H118-G118</f>
        <v>-1.41153577715158E-009</v>
      </c>
    </row>
    <row r="119" customFormat="false" ht="15" hidden="false" customHeight="false" outlineLevel="0" collapsed="false">
      <c r="A119" s="5" t="n">
        <v>7</v>
      </c>
      <c r="B119" s="5" t="s">
        <v>42</v>
      </c>
      <c r="C119" s="6" t="s">
        <v>13</v>
      </c>
      <c r="D119" s="7"/>
      <c r="E119" s="8" t="n">
        <v>1.05</v>
      </c>
      <c r="F119" s="9"/>
      <c r="G119" s="8" t="n">
        <v>-58419.2</v>
      </c>
      <c r="H119" s="0" t="n">
        <f aca="false">H118+F119-E119</f>
        <v>-58419.2000000014</v>
      </c>
      <c r="I119" s="10" t="n">
        <f aca="false">H119-G119</f>
        <v>-1.41881173476577E-009</v>
      </c>
    </row>
    <row r="120" customFormat="false" ht="15" hidden="false" customHeight="false" outlineLevel="0" collapsed="false">
      <c r="A120" s="11" t="n">
        <v>7</v>
      </c>
      <c r="B120" s="11" t="s">
        <v>42</v>
      </c>
      <c r="C120" s="12" t="s">
        <v>13</v>
      </c>
      <c r="D120" s="13"/>
      <c r="E120" s="14" t="n">
        <v>35.17</v>
      </c>
      <c r="F120" s="15"/>
      <c r="G120" s="14" t="n">
        <v>-58454.37</v>
      </c>
      <c r="H120" s="0" t="n">
        <f aca="false">H119+F120-E120</f>
        <v>-58454.3700000014</v>
      </c>
      <c r="I120" s="10" t="n">
        <f aca="false">H120-G120</f>
        <v>-1.41153577715158E-009</v>
      </c>
    </row>
    <row r="121" customFormat="false" ht="15" hidden="false" customHeight="false" outlineLevel="0" collapsed="false">
      <c r="A121" s="5" t="n">
        <v>7</v>
      </c>
      <c r="B121" s="5" t="s">
        <v>42</v>
      </c>
      <c r="C121" s="6" t="s">
        <v>13</v>
      </c>
      <c r="D121" s="7"/>
      <c r="E121" s="8" t="n">
        <v>7.38</v>
      </c>
      <c r="F121" s="9"/>
      <c r="G121" s="8" t="n">
        <v>-58461.75</v>
      </c>
      <c r="H121" s="0" t="n">
        <f aca="false">H120+F121-E121</f>
        <v>-58461.7500000014</v>
      </c>
      <c r="I121" s="10" t="n">
        <f aca="false">H121-G121</f>
        <v>-1.41153577715158E-009</v>
      </c>
    </row>
    <row r="122" customFormat="false" ht="15" hidden="false" customHeight="false" outlineLevel="0" collapsed="false">
      <c r="A122" s="11" t="n">
        <v>7</v>
      </c>
      <c r="B122" s="11" t="s">
        <v>42</v>
      </c>
      <c r="C122" s="12" t="s">
        <v>13</v>
      </c>
      <c r="D122" s="13"/>
      <c r="E122" s="14" t="n">
        <v>1.05</v>
      </c>
      <c r="F122" s="15"/>
      <c r="G122" s="14" t="n">
        <v>-58462.8</v>
      </c>
      <c r="H122" s="0" t="n">
        <f aca="false">H121+F122-E122</f>
        <v>-58462.8000000014</v>
      </c>
      <c r="I122" s="10" t="n">
        <f aca="false">H122-G122</f>
        <v>-1.41153577715158E-009</v>
      </c>
    </row>
    <row r="123" customFormat="false" ht="15" hidden="false" customHeight="false" outlineLevel="0" collapsed="false">
      <c r="A123" s="5" t="n">
        <v>7</v>
      </c>
      <c r="B123" s="5" t="s">
        <v>42</v>
      </c>
      <c r="C123" s="6" t="s">
        <v>13</v>
      </c>
      <c r="D123" s="7"/>
      <c r="E123" s="8" t="n">
        <v>37.49</v>
      </c>
      <c r="F123" s="9"/>
      <c r="G123" s="8" t="n">
        <v>-58500.29</v>
      </c>
      <c r="H123" s="0" t="n">
        <f aca="false">H122+F123-E123</f>
        <v>-58500.2900000014</v>
      </c>
      <c r="I123" s="10" t="n">
        <f aca="false">H123-G123</f>
        <v>-1.41153577715158E-009</v>
      </c>
    </row>
    <row r="124" customFormat="false" ht="15" hidden="false" customHeight="false" outlineLevel="0" collapsed="false">
      <c r="A124" s="11" t="n">
        <v>7</v>
      </c>
      <c r="B124" s="11" t="s">
        <v>42</v>
      </c>
      <c r="C124" s="12" t="s">
        <v>13</v>
      </c>
      <c r="D124" s="13"/>
      <c r="E124" s="14" t="n">
        <v>7.87</v>
      </c>
      <c r="F124" s="15"/>
      <c r="G124" s="14" t="n">
        <v>-58508.16</v>
      </c>
      <c r="H124" s="0" t="n">
        <f aca="false">H123+F124-E124</f>
        <v>-58508.1600000014</v>
      </c>
      <c r="I124" s="10" t="n">
        <f aca="false">H124-G124</f>
        <v>-1.41153577715158E-009</v>
      </c>
    </row>
    <row r="125" customFormat="false" ht="15" hidden="false" customHeight="false" outlineLevel="0" collapsed="false">
      <c r="A125" s="5" t="n">
        <v>7</v>
      </c>
      <c r="B125" s="5" t="s">
        <v>42</v>
      </c>
      <c r="C125" s="6" t="s">
        <v>13</v>
      </c>
      <c r="D125" s="7"/>
      <c r="E125" s="8" t="n">
        <v>1.12</v>
      </c>
      <c r="F125" s="9"/>
      <c r="G125" s="8" t="n">
        <v>-58509.28</v>
      </c>
      <c r="H125" s="0" t="n">
        <f aca="false">H124+F125-E125</f>
        <v>-58509.2800000014</v>
      </c>
      <c r="I125" s="10" t="n">
        <f aca="false">H125-G125</f>
        <v>-1.41881173476577E-009</v>
      </c>
    </row>
    <row r="126" customFormat="false" ht="15" hidden="false" customHeight="false" outlineLevel="0" collapsed="false">
      <c r="A126" s="11" t="n">
        <v>7</v>
      </c>
      <c r="B126" s="11" t="s">
        <v>42</v>
      </c>
      <c r="C126" s="12" t="s">
        <v>13</v>
      </c>
      <c r="D126" s="13"/>
      <c r="E126" s="14" t="n">
        <v>37.49</v>
      </c>
      <c r="F126" s="15"/>
      <c r="G126" s="14" t="n">
        <v>-58546.77</v>
      </c>
      <c r="H126" s="0" t="n">
        <f aca="false">H125+F126-E126</f>
        <v>-58546.7700000014</v>
      </c>
      <c r="I126" s="10" t="n">
        <f aca="false">H126-G126</f>
        <v>-1.41881173476577E-009</v>
      </c>
    </row>
    <row r="127" customFormat="false" ht="15" hidden="false" customHeight="false" outlineLevel="0" collapsed="false">
      <c r="A127" s="5" t="n">
        <v>7</v>
      </c>
      <c r="B127" s="5" t="s">
        <v>42</v>
      </c>
      <c r="C127" s="6" t="s">
        <v>13</v>
      </c>
      <c r="D127" s="7"/>
      <c r="E127" s="8" t="n">
        <v>7.87</v>
      </c>
      <c r="F127" s="9"/>
      <c r="G127" s="8" t="n">
        <v>-58554.64</v>
      </c>
      <c r="H127" s="0" t="n">
        <f aca="false">H126+F127-E127</f>
        <v>-58554.6400000014</v>
      </c>
      <c r="I127" s="10" t="n">
        <f aca="false">H127-G127</f>
        <v>-1.41881173476577E-009</v>
      </c>
    </row>
    <row r="128" customFormat="false" ht="15" hidden="false" customHeight="false" outlineLevel="0" collapsed="false">
      <c r="A128" s="11" t="n">
        <v>7</v>
      </c>
      <c r="B128" s="11" t="s">
        <v>42</v>
      </c>
      <c r="C128" s="12" t="s">
        <v>13</v>
      </c>
      <c r="D128" s="13"/>
      <c r="E128" s="14" t="n">
        <v>1.12</v>
      </c>
      <c r="F128" s="15"/>
      <c r="G128" s="14" t="n">
        <v>-58555.76</v>
      </c>
      <c r="H128" s="0" t="n">
        <f aca="false">H127+F128-E128</f>
        <v>-58555.7600000014</v>
      </c>
      <c r="I128" s="10" t="n">
        <f aca="false">H128-G128</f>
        <v>-1.41881173476577E-009</v>
      </c>
    </row>
    <row r="129" customFormat="false" ht="15" hidden="false" customHeight="false" outlineLevel="0" collapsed="false">
      <c r="A129" s="5" t="n">
        <v>7</v>
      </c>
      <c r="B129" s="5" t="s">
        <v>42</v>
      </c>
      <c r="C129" s="6" t="s">
        <v>14</v>
      </c>
      <c r="D129" s="7"/>
      <c r="E129" s="8" t="n">
        <v>6018.36</v>
      </c>
      <c r="F129" s="9"/>
      <c r="G129" s="8" t="n">
        <v>-64574.12</v>
      </c>
      <c r="H129" s="0" t="n">
        <f aca="false">H128+F129-E129</f>
        <v>-64574.1200000014</v>
      </c>
      <c r="I129" s="10" t="n">
        <f aca="false">H129-G129</f>
        <v>-1.41881173476577E-009</v>
      </c>
    </row>
    <row r="130" customFormat="false" ht="15" hidden="false" customHeight="false" outlineLevel="0" collapsed="false">
      <c r="A130" s="11" t="n">
        <v>7</v>
      </c>
      <c r="B130" s="11" t="s">
        <v>42</v>
      </c>
      <c r="C130" s="12" t="s">
        <v>14</v>
      </c>
      <c r="D130" s="13"/>
      <c r="E130" s="14" t="n">
        <v>6018.37</v>
      </c>
      <c r="F130" s="15"/>
      <c r="G130" s="14" t="n">
        <v>-70592.49</v>
      </c>
      <c r="H130" s="0" t="n">
        <f aca="false">H129+F130-E130</f>
        <v>-70592.4900000014</v>
      </c>
      <c r="I130" s="10" t="n">
        <f aca="false">H130-G130</f>
        <v>-1.41153577715158E-009</v>
      </c>
    </row>
    <row r="131" customFormat="false" ht="15" hidden="false" customHeight="false" outlineLevel="0" collapsed="false">
      <c r="A131" s="5" t="n">
        <v>7</v>
      </c>
      <c r="B131" s="5" t="s">
        <v>42</v>
      </c>
      <c r="C131" s="6" t="s">
        <v>14</v>
      </c>
      <c r="D131" s="7"/>
      <c r="E131" s="8" t="n">
        <v>5960.2</v>
      </c>
      <c r="F131" s="9"/>
      <c r="G131" s="8" t="n">
        <v>-76552.69</v>
      </c>
      <c r="H131" s="0" t="n">
        <f aca="false">H130+F131-E131</f>
        <v>-76552.6900000014</v>
      </c>
      <c r="I131" s="10" t="n">
        <f aca="false">H131-G131</f>
        <v>-1.41153577715158E-009</v>
      </c>
    </row>
    <row r="132" customFormat="false" ht="15" hidden="false" customHeight="false" outlineLevel="0" collapsed="false">
      <c r="A132" s="11" t="n">
        <v>7</v>
      </c>
      <c r="B132" s="11" t="s">
        <v>42</v>
      </c>
      <c r="C132" s="12" t="s">
        <v>14</v>
      </c>
      <c r="D132" s="13"/>
      <c r="E132" s="14" t="n">
        <v>5960.23</v>
      </c>
      <c r="F132" s="15"/>
      <c r="G132" s="14" t="n">
        <v>-82512.92</v>
      </c>
      <c r="H132" s="0" t="n">
        <f aca="false">H131+F132-E132</f>
        <v>-82512.9200000014</v>
      </c>
      <c r="I132" s="10" t="n">
        <f aca="false">H132-G132</f>
        <v>-1.41153577715158E-009</v>
      </c>
    </row>
    <row r="133" customFormat="false" ht="15" hidden="false" customHeight="false" outlineLevel="0" collapsed="false">
      <c r="A133" s="5" t="n">
        <v>7</v>
      </c>
      <c r="B133" s="5" t="s">
        <v>42</v>
      </c>
      <c r="C133" s="6" t="s">
        <v>14</v>
      </c>
      <c r="D133" s="7"/>
      <c r="E133" s="8" t="n">
        <v>6354.89</v>
      </c>
      <c r="F133" s="9"/>
      <c r="G133" s="8" t="n">
        <v>-88867.81</v>
      </c>
      <c r="H133" s="0" t="n">
        <f aca="false">H132+F133-E133</f>
        <v>-88867.8100000014</v>
      </c>
      <c r="I133" s="10" t="n">
        <f aca="false">H133-G133</f>
        <v>-1.41153577715158E-009</v>
      </c>
    </row>
    <row r="134" customFormat="false" ht="15" hidden="false" customHeight="false" outlineLevel="0" collapsed="false">
      <c r="A134" s="11" t="n">
        <v>7</v>
      </c>
      <c r="B134" s="11" t="s">
        <v>42</v>
      </c>
      <c r="C134" s="12" t="s">
        <v>14</v>
      </c>
      <c r="D134" s="13"/>
      <c r="E134" s="14" t="n">
        <v>6354.91</v>
      </c>
      <c r="F134" s="15"/>
      <c r="G134" s="14" t="n">
        <v>-95222.72</v>
      </c>
      <c r="H134" s="0" t="n">
        <f aca="false">H133+F134-E134</f>
        <v>-95222.7200000014</v>
      </c>
      <c r="I134" s="10" t="n">
        <f aca="false">H134-G134</f>
        <v>-1.41153577715158E-009</v>
      </c>
    </row>
    <row r="135" customFormat="false" ht="15" hidden="false" customHeight="false" outlineLevel="0" collapsed="false">
      <c r="A135" s="5" t="n">
        <v>7</v>
      </c>
      <c r="B135" s="5" t="s">
        <v>42</v>
      </c>
      <c r="C135" s="6" t="s">
        <v>44</v>
      </c>
      <c r="D135" s="7"/>
      <c r="E135" s="9"/>
      <c r="F135" s="8" t="n">
        <v>1003060</v>
      </c>
      <c r="G135" s="8" t="n">
        <v>907837.28</v>
      </c>
      <c r="H135" s="0" t="n">
        <f aca="false">H134+F135-E135</f>
        <v>907837.279999999</v>
      </c>
      <c r="I135" s="10" t="n">
        <f aca="false">H135-G135</f>
        <v>0</v>
      </c>
    </row>
    <row r="136" customFormat="false" ht="15" hidden="false" customHeight="false" outlineLevel="0" collapsed="false">
      <c r="A136" s="11" t="n">
        <v>7</v>
      </c>
      <c r="B136" s="11" t="s">
        <v>42</v>
      </c>
      <c r="C136" s="12" t="s">
        <v>44</v>
      </c>
      <c r="D136" s="13"/>
      <c r="E136" s="15"/>
      <c r="F136" s="14" t="n">
        <v>1003061</v>
      </c>
      <c r="G136" s="14" t="n">
        <v>1910898.28</v>
      </c>
      <c r="H136" s="0" t="n">
        <f aca="false">H135+F136-E136</f>
        <v>1910898.28</v>
      </c>
      <c r="I136" s="10" t="n">
        <f aca="false">H136-G136</f>
        <v>0</v>
      </c>
    </row>
    <row r="137" customFormat="false" ht="15" hidden="false" customHeight="false" outlineLevel="0" collapsed="false">
      <c r="A137" s="5" t="n">
        <v>7</v>
      </c>
      <c r="B137" s="5" t="s">
        <v>42</v>
      </c>
      <c r="C137" s="6" t="s">
        <v>44</v>
      </c>
      <c r="D137" s="7"/>
      <c r="E137" s="9"/>
      <c r="F137" s="8" t="n">
        <v>993366</v>
      </c>
      <c r="G137" s="8" t="n">
        <v>2904264.28</v>
      </c>
      <c r="H137" s="0" t="n">
        <f aca="false">H136+F137-E137</f>
        <v>2904264.28</v>
      </c>
      <c r="I137" s="10" t="n">
        <f aca="false">H137-G137</f>
        <v>0</v>
      </c>
    </row>
    <row r="138" customFormat="false" ht="15" hidden="false" customHeight="false" outlineLevel="0" collapsed="false">
      <c r="A138" s="11" t="n">
        <v>7</v>
      </c>
      <c r="B138" s="11" t="s">
        <v>42</v>
      </c>
      <c r="C138" s="12" t="s">
        <v>44</v>
      </c>
      <c r="D138" s="13"/>
      <c r="E138" s="15"/>
      <c r="F138" s="14" t="n">
        <v>993370.99</v>
      </c>
      <c r="G138" s="14" t="n">
        <v>3897635.27</v>
      </c>
      <c r="H138" s="0" t="n">
        <f aca="false">H137+F138-E138</f>
        <v>3897635.27</v>
      </c>
      <c r="I138" s="10" t="n">
        <f aca="false">H138-G138</f>
        <v>0</v>
      </c>
    </row>
    <row r="139" customFormat="false" ht="15" hidden="false" customHeight="false" outlineLevel="0" collapsed="false">
      <c r="A139" s="5" t="n">
        <v>7</v>
      </c>
      <c r="B139" s="5" t="s">
        <v>42</v>
      </c>
      <c r="C139" s="6" t="s">
        <v>44</v>
      </c>
      <c r="D139" s="7"/>
      <c r="E139" s="9"/>
      <c r="F139" s="8" t="n">
        <v>1059149</v>
      </c>
      <c r="G139" s="8" t="n">
        <v>4956784.27</v>
      </c>
      <c r="H139" s="0" t="n">
        <f aca="false">H138+F139-E139</f>
        <v>4956784.27</v>
      </c>
      <c r="I139" s="10" t="n">
        <f aca="false">H139-G139</f>
        <v>0</v>
      </c>
    </row>
    <row r="140" customFormat="false" ht="15" hidden="false" customHeight="false" outlineLevel="0" collapsed="false">
      <c r="A140" s="11" t="n">
        <v>7</v>
      </c>
      <c r="B140" s="11" t="s">
        <v>42</v>
      </c>
      <c r="C140" s="12" t="s">
        <v>44</v>
      </c>
      <c r="D140" s="13"/>
      <c r="E140" s="15"/>
      <c r="F140" s="14" t="n">
        <v>1059152</v>
      </c>
      <c r="G140" s="14" t="n">
        <v>6015936.27</v>
      </c>
      <c r="H140" s="0" t="n">
        <f aca="false">H139+F140-E140</f>
        <v>6015936.27</v>
      </c>
      <c r="I140" s="10" t="n">
        <f aca="false">H140-G140</f>
        <v>0</v>
      </c>
    </row>
    <row r="141" customFormat="false" ht="15" hidden="false" customHeight="false" outlineLevel="0" collapsed="false">
      <c r="A141" s="5" t="n">
        <v>7</v>
      </c>
      <c r="B141" s="5" t="s">
        <v>45</v>
      </c>
      <c r="C141" s="6" t="s">
        <v>23</v>
      </c>
      <c r="D141" s="7"/>
      <c r="E141" s="8" t="n">
        <v>6015936</v>
      </c>
      <c r="F141" s="9"/>
      <c r="G141" s="8" t="n">
        <v>0.27</v>
      </c>
      <c r="H141" s="0" t="n">
        <f aca="false">H140+F141-E141</f>
        <v>0.269999998621643</v>
      </c>
      <c r="I141" s="10" t="n">
        <f aca="false">H141-G141</f>
        <v>-1.37835742819448E-009</v>
      </c>
    </row>
    <row r="142" customFormat="false" ht="15" hidden="false" customHeight="false" outlineLevel="0" collapsed="false">
      <c r="A142" s="11" t="n">
        <v>7</v>
      </c>
      <c r="B142" s="11" t="s">
        <v>46</v>
      </c>
      <c r="C142" s="12" t="s">
        <v>27</v>
      </c>
      <c r="D142" s="13"/>
      <c r="E142" s="14" t="n">
        <v>936</v>
      </c>
      <c r="F142" s="15"/>
      <c r="G142" s="14" t="n">
        <v>-935.73</v>
      </c>
      <c r="H142" s="0" t="n">
        <f aca="false">H141+F142-E142</f>
        <v>-935.730000001378</v>
      </c>
      <c r="I142" s="10" t="n">
        <f aca="false">H142-G142</f>
        <v>-1.37833922053687E-009</v>
      </c>
    </row>
    <row r="143" customFormat="false" ht="15" hidden="false" customHeight="false" outlineLevel="0" collapsed="false">
      <c r="A143" s="5" t="n">
        <v>7</v>
      </c>
      <c r="B143" s="5" t="s">
        <v>46</v>
      </c>
      <c r="C143" s="6" t="s">
        <v>28</v>
      </c>
      <c r="D143" s="7"/>
      <c r="E143" s="8" t="n">
        <v>6552</v>
      </c>
      <c r="F143" s="9"/>
      <c r="G143" s="8" t="n">
        <v>-7487.73</v>
      </c>
      <c r="H143" s="0" t="n">
        <f aca="false">H142+F143-E143</f>
        <v>-7487.73000000138</v>
      </c>
      <c r="I143" s="10" t="n">
        <f aca="false">H143-G143</f>
        <v>-1.37879396788776E-009</v>
      </c>
    </row>
    <row r="144" customFormat="false" ht="15" hidden="false" customHeight="false" outlineLevel="0" collapsed="false">
      <c r="A144" s="11" t="n">
        <v>7</v>
      </c>
      <c r="B144" s="11" t="s">
        <v>46</v>
      </c>
      <c r="C144" s="12" t="s">
        <v>29</v>
      </c>
      <c r="D144" s="13"/>
      <c r="E144" s="14" t="n">
        <v>31200</v>
      </c>
      <c r="F144" s="15"/>
      <c r="G144" s="14" t="n">
        <v>-38687.73</v>
      </c>
      <c r="H144" s="0" t="n">
        <f aca="false">H143+F144-E144</f>
        <v>-38687.7300000014</v>
      </c>
      <c r="I144" s="10" t="n">
        <f aca="false">H144-G144</f>
        <v>-1.37515598908067E-009</v>
      </c>
    </row>
    <row r="145" customFormat="false" ht="15" hidden="false" customHeight="false" outlineLevel="0" collapsed="false">
      <c r="A145" s="5" t="n">
        <v>7</v>
      </c>
      <c r="B145" s="5" t="s">
        <v>46</v>
      </c>
      <c r="C145" s="6" t="s">
        <v>13</v>
      </c>
      <c r="D145" s="7"/>
      <c r="E145" s="8" t="n">
        <v>187.2</v>
      </c>
      <c r="F145" s="9"/>
      <c r="G145" s="8" t="n">
        <v>-38874.93</v>
      </c>
      <c r="H145" s="0" t="n">
        <f aca="false">H144+F145-E145</f>
        <v>-38874.9300000014</v>
      </c>
      <c r="I145" s="10" t="n">
        <f aca="false">H145-G145</f>
        <v>-1.37515598908067E-009</v>
      </c>
    </row>
    <row r="146" customFormat="false" ht="15" hidden="false" customHeight="false" outlineLevel="0" collapsed="false">
      <c r="A146" s="11" t="n">
        <v>7</v>
      </c>
      <c r="B146" s="11" t="s">
        <v>46</v>
      </c>
      <c r="C146" s="12" t="s">
        <v>13</v>
      </c>
      <c r="D146" s="13"/>
      <c r="E146" s="14" t="n">
        <v>39.31</v>
      </c>
      <c r="F146" s="15"/>
      <c r="G146" s="14" t="n">
        <v>-38914.24</v>
      </c>
      <c r="H146" s="0" t="n">
        <f aca="false">H145+F146-E146</f>
        <v>-38914.2400000014</v>
      </c>
      <c r="I146" s="10" t="n">
        <f aca="false">H146-G146</f>
        <v>-1.37515598908067E-009</v>
      </c>
    </row>
    <row r="147" customFormat="false" ht="15" hidden="false" customHeight="false" outlineLevel="0" collapsed="false">
      <c r="A147" s="5" t="n">
        <v>7</v>
      </c>
      <c r="B147" s="5" t="s">
        <v>46</v>
      </c>
      <c r="C147" s="6" t="s">
        <v>13</v>
      </c>
      <c r="D147" s="7"/>
      <c r="E147" s="8" t="n">
        <v>5.62</v>
      </c>
      <c r="F147" s="9"/>
      <c r="G147" s="8" t="n">
        <v>-38919.86</v>
      </c>
      <c r="H147" s="0" t="n">
        <f aca="false">H146+F147-E147</f>
        <v>-38919.8600000014</v>
      </c>
      <c r="I147" s="10" t="n">
        <f aca="false">H147-G147</f>
        <v>-1.37515598908067E-009</v>
      </c>
    </row>
    <row r="148" customFormat="false" ht="15" hidden="false" customHeight="false" outlineLevel="0" collapsed="false">
      <c r="A148" s="11" t="n">
        <v>8</v>
      </c>
      <c r="B148" s="11" t="s">
        <v>47</v>
      </c>
      <c r="C148" s="12" t="s">
        <v>10</v>
      </c>
      <c r="D148" s="13"/>
      <c r="E148" s="14" t="n">
        <v>1340.92</v>
      </c>
      <c r="F148" s="15"/>
      <c r="G148" s="14" t="n">
        <v>-40260.78</v>
      </c>
      <c r="H148" s="0" t="n">
        <f aca="false">H147+F148-E148</f>
        <v>-40260.7800000014</v>
      </c>
      <c r="I148" s="10" t="n">
        <f aca="false">H148-G148</f>
        <v>-1.37515598908067E-009</v>
      </c>
    </row>
    <row r="149" customFormat="false" ht="15" hidden="false" customHeight="false" outlineLevel="0" collapsed="false">
      <c r="A149" s="5" t="n">
        <v>8</v>
      </c>
      <c r="B149" s="5" t="s">
        <v>47</v>
      </c>
      <c r="C149" s="6" t="s">
        <v>11</v>
      </c>
      <c r="D149" s="7"/>
      <c r="E149" s="8" t="n">
        <v>16.25</v>
      </c>
      <c r="F149" s="9"/>
      <c r="G149" s="8" t="n">
        <v>-40277.03</v>
      </c>
      <c r="H149" s="0" t="n">
        <f aca="false">H148+F149-E149</f>
        <v>-40277.0300000014</v>
      </c>
      <c r="I149" s="10" t="n">
        <f aca="false">H149-G149</f>
        <v>-1.37515598908067E-009</v>
      </c>
    </row>
    <row r="150" customFormat="false" ht="15" hidden="false" customHeight="false" outlineLevel="0" collapsed="false">
      <c r="A150" s="11" t="n">
        <v>8</v>
      </c>
      <c r="B150" s="11" t="s">
        <v>47</v>
      </c>
      <c r="C150" s="12" t="s">
        <v>12</v>
      </c>
      <c r="D150" s="13"/>
      <c r="E150" s="14" t="n">
        <v>140.8</v>
      </c>
      <c r="F150" s="15"/>
      <c r="G150" s="14" t="n">
        <v>-40417.83</v>
      </c>
      <c r="H150" s="0" t="n">
        <f aca="false">H149+F150-E150</f>
        <v>-40417.8300000014</v>
      </c>
      <c r="I150" s="10" t="n">
        <f aca="false">H150-G150</f>
        <v>-1.37515598908067E-009</v>
      </c>
    </row>
    <row r="151" customFormat="false" ht="15" hidden="false" customHeight="false" outlineLevel="0" collapsed="false">
      <c r="A151" s="5" t="n">
        <v>8</v>
      </c>
      <c r="B151" s="5" t="s">
        <v>47</v>
      </c>
      <c r="C151" s="6" t="s">
        <v>13</v>
      </c>
      <c r="D151" s="7"/>
      <c r="E151" s="8" t="n">
        <v>8.05</v>
      </c>
      <c r="F151" s="9"/>
      <c r="G151" s="8" t="n">
        <v>-40425.88</v>
      </c>
      <c r="H151" s="0" t="n">
        <f aca="false">H150+F151-E151</f>
        <v>-40425.8800000014</v>
      </c>
      <c r="I151" s="10" t="n">
        <f aca="false">H151-G151</f>
        <v>-1.38243194669485E-009</v>
      </c>
    </row>
    <row r="152" customFormat="false" ht="15" hidden="false" customHeight="false" outlineLevel="0" collapsed="false">
      <c r="A152" s="11" t="n">
        <v>8</v>
      </c>
      <c r="B152" s="11" t="s">
        <v>47</v>
      </c>
      <c r="C152" s="12" t="s">
        <v>13</v>
      </c>
      <c r="D152" s="13"/>
      <c r="E152" s="14" t="n">
        <v>0.84</v>
      </c>
      <c r="F152" s="15"/>
      <c r="G152" s="14" t="n">
        <v>-40426.72</v>
      </c>
      <c r="H152" s="0" t="n">
        <f aca="false">H151+F152-E152</f>
        <v>-40426.7200000014</v>
      </c>
      <c r="I152" s="10" t="n">
        <f aca="false">H152-G152</f>
        <v>-1.37515598908067E-009</v>
      </c>
    </row>
    <row r="153" customFormat="false" ht="15" hidden="false" customHeight="false" outlineLevel="0" collapsed="false">
      <c r="A153" s="5" t="n">
        <v>8</v>
      </c>
      <c r="B153" s="5" t="s">
        <v>47</v>
      </c>
      <c r="C153" s="6" t="s">
        <v>13</v>
      </c>
      <c r="D153" s="7"/>
      <c r="E153" s="8" t="n">
        <v>0.1</v>
      </c>
      <c r="F153" s="9"/>
      <c r="G153" s="8" t="n">
        <v>-40426.82</v>
      </c>
      <c r="H153" s="0" t="n">
        <f aca="false">H152+F153-E153</f>
        <v>-40426.8200000014</v>
      </c>
      <c r="I153" s="10" t="n">
        <f aca="false">H153-G153</f>
        <v>-1.37515598908067E-009</v>
      </c>
    </row>
    <row r="154" customFormat="false" ht="15" hidden="false" customHeight="false" outlineLevel="0" collapsed="false">
      <c r="A154" s="11" t="n">
        <v>8</v>
      </c>
      <c r="B154" s="11" t="s">
        <v>48</v>
      </c>
      <c r="C154" s="12" t="s">
        <v>27</v>
      </c>
      <c r="D154" s="13"/>
      <c r="E154" s="14" t="n">
        <v>936</v>
      </c>
      <c r="F154" s="15"/>
      <c r="G154" s="14" t="n">
        <v>-41362.82</v>
      </c>
      <c r="H154" s="0" t="n">
        <f aca="false">H153+F154-E154</f>
        <v>-41362.8200000014</v>
      </c>
      <c r="I154" s="10" t="n">
        <f aca="false">H154-G154</f>
        <v>-1.37515598908067E-009</v>
      </c>
    </row>
    <row r="155" customFormat="false" ht="15" hidden="false" customHeight="false" outlineLevel="0" collapsed="false">
      <c r="A155" s="5" t="n">
        <v>8</v>
      </c>
      <c r="B155" s="5" t="s">
        <v>48</v>
      </c>
      <c r="C155" s="6" t="s">
        <v>49</v>
      </c>
      <c r="D155" s="7"/>
      <c r="E155" s="8" t="n">
        <v>660</v>
      </c>
      <c r="F155" s="9"/>
      <c r="G155" s="8" t="n">
        <v>-42022.82</v>
      </c>
      <c r="H155" s="0" t="n">
        <f aca="false">H154+F155-E155</f>
        <v>-42022.8200000014</v>
      </c>
      <c r="I155" s="10" t="n">
        <f aca="false">H155-G155</f>
        <v>-1.37515598908067E-009</v>
      </c>
    </row>
    <row r="156" customFormat="false" ht="15" hidden="false" customHeight="false" outlineLevel="0" collapsed="false">
      <c r="A156" s="11" t="n">
        <v>8</v>
      </c>
      <c r="B156" s="11" t="s">
        <v>48</v>
      </c>
      <c r="C156" s="12" t="s">
        <v>28</v>
      </c>
      <c r="D156" s="13"/>
      <c r="E156" s="14" t="n">
        <v>138.6</v>
      </c>
      <c r="F156" s="15"/>
      <c r="G156" s="14" t="n">
        <v>-42161.42</v>
      </c>
      <c r="H156" s="0" t="n">
        <f aca="false">H155+F156-E156</f>
        <v>-42161.4200000014</v>
      </c>
      <c r="I156" s="10" t="n">
        <f aca="false">H156-G156</f>
        <v>-1.37515598908067E-009</v>
      </c>
    </row>
    <row r="157" customFormat="false" ht="15" hidden="false" customHeight="false" outlineLevel="0" collapsed="false">
      <c r="A157" s="5" t="n">
        <v>8</v>
      </c>
      <c r="B157" s="5" t="s">
        <v>48</v>
      </c>
      <c r="C157" s="6" t="s">
        <v>28</v>
      </c>
      <c r="D157" s="7"/>
      <c r="E157" s="8" t="n">
        <v>6552</v>
      </c>
      <c r="F157" s="9"/>
      <c r="G157" s="8" t="n">
        <v>-48713.42</v>
      </c>
      <c r="H157" s="0" t="n">
        <f aca="false">H156+F157-E157</f>
        <v>-48713.4200000014</v>
      </c>
      <c r="I157" s="10" t="n">
        <f aca="false">H157-G157</f>
        <v>-1.37515598908067E-009</v>
      </c>
    </row>
    <row r="158" customFormat="false" ht="15" hidden="false" customHeight="false" outlineLevel="0" collapsed="false">
      <c r="A158" s="11" t="n">
        <v>8</v>
      </c>
      <c r="B158" s="11" t="s">
        <v>48</v>
      </c>
      <c r="C158" s="12" t="s">
        <v>29</v>
      </c>
      <c r="D158" s="13"/>
      <c r="E158" s="14" t="n">
        <v>31200</v>
      </c>
      <c r="F158" s="15"/>
      <c r="G158" s="14" t="n">
        <v>-79913.42</v>
      </c>
      <c r="H158" s="0" t="n">
        <f aca="false">H157+F158-E158</f>
        <v>-79913.4200000014</v>
      </c>
      <c r="I158" s="10" t="n">
        <f aca="false">H158-G158</f>
        <v>-1.38243194669485E-009</v>
      </c>
    </row>
    <row r="159" customFormat="false" ht="15" hidden="false" customHeight="false" outlineLevel="0" collapsed="false">
      <c r="A159" s="5" t="n">
        <v>8</v>
      </c>
      <c r="B159" s="5" t="s">
        <v>48</v>
      </c>
      <c r="C159" s="6" t="s">
        <v>13</v>
      </c>
      <c r="D159" s="7"/>
      <c r="E159" s="8" t="n">
        <v>3.96</v>
      </c>
      <c r="F159" s="9"/>
      <c r="G159" s="8" t="n">
        <v>-79917.38</v>
      </c>
      <c r="H159" s="0" t="n">
        <f aca="false">H158+F159-E159</f>
        <v>-79917.3800000014</v>
      </c>
      <c r="I159" s="10" t="n">
        <f aca="false">H159-G159</f>
        <v>-1.38243194669485E-009</v>
      </c>
    </row>
    <row r="160" customFormat="false" ht="15" hidden="false" customHeight="false" outlineLevel="0" collapsed="false">
      <c r="A160" s="11" t="n">
        <v>8</v>
      </c>
      <c r="B160" s="11" t="s">
        <v>48</v>
      </c>
      <c r="C160" s="12" t="s">
        <v>13</v>
      </c>
      <c r="D160" s="13"/>
      <c r="E160" s="14" t="n">
        <v>0.83</v>
      </c>
      <c r="F160" s="15"/>
      <c r="G160" s="14" t="n">
        <v>-79918.21</v>
      </c>
      <c r="H160" s="0" t="n">
        <f aca="false">H159+F160-E160</f>
        <v>-79918.2100000014</v>
      </c>
      <c r="I160" s="10" t="n">
        <f aca="false">H160-G160</f>
        <v>-1.38243194669485E-009</v>
      </c>
    </row>
    <row r="161" customFormat="false" ht="15" hidden="false" customHeight="false" outlineLevel="0" collapsed="false">
      <c r="A161" s="5" t="n">
        <v>8</v>
      </c>
      <c r="B161" s="5" t="s">
        <v>48</v>
      </c>
      <c r="C161" s="6" t="s">
        <v>13</v>
      </c>
      <c r="D161" s="7"/>
      <c r="E161" s="8" t="n">
        <v>187.2</v>
      </c>
      <c r="F161" s="9"/>
      <c r="G161" s="8" t="n">
        <v>-80105.41</v>
      </c>
      <c r="H161" s="0" t="n">
        <f aca="false">H160+F161-E161</f>
        <v>-80105.4100000014</v>
      </c>
      <c r="I161" s="10" t="n">
        <f aca="false">H161-G161</f>
        <v>-1.38243194669485E-009</v>
      </c>
    </row>
    <row r="162" customFormat="false" ht="15" hidden="false" customHeight="false" outlineLevel="0" collapsed="false">
      <c r="A162" s="11" t="n">
        <v>8</v>
      </c>
      <c r="B162" s="11" t="s">
        <v>48</v>
      </c>
      <c r="C162" s="12" t="s">
        <v>13</v>
      </c>
      <c r="D162" s="13"/>
      <c r="E162" s="14" t="n">
        <v>39.31</v>
      </c>
      <c r="F162" s="15"/>
      <c r="G162" s="14" t="n">
        <v>-80144.72</v>
      </c>
      <c r="H162" s="0" t="n">
        <f aca="false">H161+F162-E162</f>
        <v>-80144.7200000014</v>
      </c>
      <c r="I162" s="10" t="n">
        <f aca="false">H162-G162</f>
        <v>-1.38243194669485E-009</v>
      </c>
    </row>
    <row r="163" customFormat="false" ht="15" hidden="false" customHeight="false" outlineLevel="0" collapsed="false">
      <c r="A163" s="5" t="n">
        <v>8</v>
      </c>
      <c r="B163" s="5" t="s">
        <v>48</v>
      </c>
      <c r="C163" s="6" t="s">
        <v>13</v>
      </c>
      <c r="D163" s="7"/>
      <c r="E163" s="8" t="n">
        <v>5.62</v>
      </c>
      <c r="F163" s="9"/>
      <c r="G163" s="8" t="n">
        <v>-80150.34</v>
      </c>
      <c r="H163" s="0" t="n">
        <f aca="false">H162+F163-E163</f>
        <v>-80150.3400000014</v>
      </c>
      <c r="I163" s="10" t="n">
        <f aca="false">H163-G163</f>
        <v>-1.38243194669485E-009</v>
      </c>
    </row>
    <row r="164" customFormat="false" ht="15" hidden="false" customHeight="false" outlineLevel="0" collapsed="false">
      <c r="A164" s="11" t="n">
        <v>9</v>
      </c>
      <c r="B164" s="11" t="s">
        <v>50</v>
      </c>
      <c r="C164" s="12" t="s">
        <v>10</v>
      </c>
      <c r="D164" s="13"/>
      <c r="E164" s="14" t="n">
        <v>3614.63</v>
      </c>
      <c r="F164" s="15"/>
      <c r="G164" s="14" t="n">
        <v>-83764.97</v>
      </c>
      <c r="H164" s="0" t="n">
        <f aca="false">H163+F164-E164</f>
        <v>-83764.9700000014</v>
      </c>
      <c r="I164" s="10" t="n">
        <f aca="false">H164-G164</f>
        <v>-1.38243194669485E-009</v>
      </c>
    </row>
    <row r="165" customFormat="false" ht="15" hidden="false" customHeight="false" outlineLevel="0" collapsed="false">
      <c r="A165" s="5" t="n">
        <v>9</v>
      </c>
      <c r="B165" s="5" t="s">
        <v>50</v>
      </c>
      <c r="C165" s="6" t="s">
        <v>11</v>
      </c>
      <c r="D165" s="7"/>
      <c r="E165" s="8" t="n">
        <v>43.81</v>
      </c>
      <c r="F165" s="9"/>
      <c r="G165" s="8" t="n">
        <v>-83808.78</v>
      </c>
      <c r="H165" s="0" t="n">
        <f aca="false">H164+F165-E165</f>
        <v>-83808.7800000014</v>
      </c>
      <c r="I165" s="10" t="n">
        <f aca="false">H165-G165</f>
        <v>-1.38243194669485E-009</v>
      </c>
    </row>
    <row r="166" customFormat="false" ht="15" hidden="false" customHeight="false" outlineLevel="0" collapsed="false">
      <c r="A166" s="11" t="n">
        <v>9</v>
      </c>
      <c r="B166" s="11" t="s">
        <v>50</v>
      </c>
      <c r="C166" s="12" t="s">
        <v>12</v>
      </c>
      <c r="D166" s="13"/>
      <c r="E166" s="14" t="n">
        <v>379.54</v>
      </c>
      <c r="F166" s="15"/>
      <c r="G166" s="14" t="n">
        <v>-84188.32</v>
      </c>
      <c r="H166" s="0" t="n">
        <f aca="false">H165+F166-E166</f>
        <v>-84188.3200000014</v>
      </c>
      <c r="I166" s="10" t="n">
        <f aca="false">H166-G166</f>
        <v>-1.36788003146648E-009</v>
      </c>
    </row>
    <row r="167" customFormat="false" ht="15" hidden="false" customHeight="false" outlineLevel="0" collapsed="false">
      <c r="A167" s="5" t="n">
        <v>9</v>
      </c>
      <c r="B167" s="5" t="s">
        <v>50</v>
      </c>
      <c r="C167" s="6" t="s">
        <v>13</v>
      </c>
      <c r="D167" s="7"/>
      <c r="E167" s="8" t="n">
        <v>21.69</v>
      </c>
      <c r="F167" s="9"/>
      <c r="G167" s="8" t="n">
        <v>-84210.01</v>
      </c>
      <c r="H167" s="0" t="n">
        <f aca="false">H166+F167-E167</f>
        <v>-84210.0100000014</v>
      </c>
      <c r="I167" s="10" t="n">
        <f aca="false">H167-G167</f>
        <v>-1.38243194669485E-009</v>
      </c>
    </row>
    <row r="168" customFormat="false" ht="15" hidden="false" customHeight="false" outlineLevel="0" collapsed="false">
      <c r="A168" s="11" t="n">
        <v>9</v>
      </c>
      <c r="B168" s="11" t="s">
        <v>50</v>
      </c>
      <c r="C168" s="12" t="s">
        <v>13</v>
      </c>
      <c r="D168" s="13"/>
      <c r="E168" s="14" t="n">
        <v>2.28</v>
      </c>
      <c r="F168" s="15"/>
      <c r="G168" s="14" t="n">
        <v>-84212.29</v>
      </c>
      <c r="H168" s="0" t="n">
        <f aca="false">H167+F168-E168</f>
        <v>-84212.2900000014</v>
      </c>
      <c r="I168" s="10" t="n">
        <f aca="false">H168-G168</f>
        <v>-1.38243194669485E-009</v>
      </c>
    </row>
    <row r="169" customFormat="false" ht="15" hidden="false" customHeight="false" outlineLevel="0" collapsed="false">
      <c r="A169" s="5" t="n">
        <v>9</v>
      </c>
      <c r="B169" s="5" t="s">
        <v>50</v>
      </c>
      <c r="C169" s="6" t="s">
        <v>13</v>
      </c>
      <c r="D169" s="7"/>
      <c r="E169" s="8" t="n">
        <v>0.26</v>
      </c>
      <c r="F169" s="9"/>
      <c r="G169" s="8" t="n">
        <v>-84212.55</v>
      </c>
      <c r="H169" s="0" t="n">
        <f aca="false">H168+F169-E169</f>
        <v>-84212.5500000014</v>
      </c>
      <c r="I169" s="10" t="n">
        <f aca="false">H169-G169</f>
        <v>-1.36788003146648E-009</v>
      </c>
    </row>
    <row r="170" customFormat="false" ht="15" hidden="false" customHeight="false" outlineLevel="0" collapsed="false">
      <c r="A170" s="11" t="n">
        <v>9</v>
      </c>
      <c r="B170" s="11" t="s">
        <v>51</v>
      </c>
      <c r="C170" s="12" t="s">
        <v>33</v>
      </c>
      <c r="D170" s="13"/>
      <c r="E170" s="15"/>
      <c r="F170" s="14" t="n">
        <v>100000</v>
      </c>
      <c r="G170" s="14" t="n">
        <v>15787.45</v>
      </c>
      <c r="H170" s="0" t="n">
        <f aca="false">H169+F170-E170</f>
        <v>15787.4499999986</v>
      </c>
      <c r="I170" s="10" t="n">
        <f aca="false">H170-G170</f>
        <v>-1.37151801027358E-009</v>
      </c>
    </row>
    <row r="171" customFormat="false" ht="15" hidden="false" customHeight="false" outlineLevel="0" collapsed="false">
      <c r="A171" s="5" t="n">
        <v>9</v>
      </c>
      <c r="B171" s="5" t="s">
        <v>52</v>
      </c>
      <c r="C171" s="6" t="s">
        <v>33</v>
      </c>
      <c r="D171" s="7"/>
      <c r="E171" s="9"/>
      <c r="F171" s="8" t="n">
        <v>215000</v>
      </c>
      <c r="G171" s="8" t="n">
        <v>230787.45</v>
      </c>
      <c r="H171" s="0" t="n">
        <f aca="false">H170+F171-E171</f>
        <v>230787.449999999</v>
      </c>
      <c r="I171" s="10" t="n">
        <f aca="false">H171-G171</f>
        <v>-1.39698386192322E-009</v>
      </c>
    </row>
    <row r="172" customFormat="false" ht="15" hidden="false" customHeight="false" outlineLevel="0" collapsed="false">
      <c r="A172" s="11" t="n">
        <v>9</v>
      </c>
      <c r="B172" s="11" t="s">
        <v>53</v>
      </c>
      <c r="C172" s="12" t="s">
        <v>13</v>
      </c>
      <c r="D172" s="13"/>
      <c r="E172" s="14" t="n">
        <v>562.78</v>
      </c>
      <c r="F172" s="15"/>
      <c r="G172" s="14" t="n">
        <v>230224.67</v>
      </c>
      <c r="H172" s="0" t="n">
        <f aca="false">H171+F172-E172</f>
        <v>230224.669999999</v>
      </c>
      <c r="I172" s="10" t="n">
        <f aca="false">H172-G172</f>
        <v>-1.39698386192322E-009</v>
      </c>
    </row>
    <row r="173" customFormat="false" ht="15" hidden="false" customHeight="false" outlineLevel="0" collapsed="false">
      <c r="A173" s="5" t="n">
        <v>9</v>
      </c>
      <c r="B173" s="5" t="s">
        <v>53</v>
      </c>
      <c r="C173" s="6" t="s">
        <v>13</v>
      </c>
      <c r="D173" s="7"/>
      <c r="E173" s="8" t="n">
        <v>516.52</v>
      </c>
      <c r="F173" s="9"/>
      <c r="G173" s="8" t="n">
        <v>229708.15</v>
      </c>
      <c r="H173" s="0" t="n">
        <f aca="false">H172+F173-E173</f>
        <v>229708.149999999</v>
      </c>
      <c r="I173" s="10" t="n">
        <f aca="false">H173-G173</f>
        <v>-1.36788003146648E-009</v>
      </c>
    </row>
    <row r="174" customFormat="false" ht="15" hidden="false" customHeight="false" outlineLevel="0" collapsed="false">
      <c r="A174" s="11" t="n">
        <v>9</v>
      </c>
      <c r="B174" s="11" t="s">
        <v>53</v>
      </c>
      <c r="C174" s="12" t="s">
        <v>13</v>
      </c>
      <c r="D174" s="13"/>
      <c r="E174" s="14" t="n">
        <v>149.02</v>
      </c>
      <c r="F174" s="15"/>
      <c r="G174" s="14" t="n">
        <v>229559.13</v>
      </c>
      <c r="H174" s="0" t="n">
        <f aca="false">H173+F174-E174</f>
        <v>229559.129999999</v>
      </c>
      <c r="I174" s="10" t="n">
        <f aca="false">H174-G174</f>
        <v>-1.36788003146648E-009</v>
      </c>
    </row>
    <row r="175" customFormat="false" ht="15" hidden="false" customHeight="false" outlineLevel="0" collapsed="false">
      <c r="A175" s="5" t="n">
        <v>9</v>
      </c>
      <c r="B175" s="5" t="s">
        <v>53</v>
      </c>
      <c r="C175" s="6" t="s">
        <v>13</v>
      </c>
      <c r="D175" s="7"/>
      <c r="E175" s="8" t="n">
        <v>53.28</v>
      </c>
      <c r="F175" s="9"/>
      <c r="G175" s="8" t="n">
        <v>229505.85</v>
      </c>
      <c r="H175" s="0" t="n">
        <f aca="false">H174+F175-E175</f>
        <v>229505.849999999</v>
      </c>
      <c r="I175" s="10" t="n">
        <f aca="false">H175-G175</f>
        <v>-1.36788003146648E-009</v>
      </c>
    </row>
    <row r="176" customFormat="false" ht="15" hidden="false" customHeight="false" outlineLevel="0" collapsed="false">
      <c r="A176" s="11" t="n">
        <v>9</v>
      </c>
      <c r="B176" s="11" t="s">
        <v>53</v>
      </c>
      <c r="C176" s="12" t="s">
        <v>20</v>
      </c>
      <c r="D176" s="13"/>
      <c r="E176" s="14" t="n">
        <v>93796.22</v>
      </c>
      <c r="F176" s="15"/>
      <c r="G176" s="14" t="n">
        <v>135709.63</v>
      </c>
      <c r="H176" s="0" t="n">
        <f aca="false">H175+F176-E176</f>
        <v>135709.629999999</v>
      </c>
      <c r="I176" s="10" t="n">
        <f aca="false">H176-G176</f>
        <v>-1.36788003146648E-009</v>
      </c>
    </row>
    <row r="177" customFormat="false" ht="15" hidden="false" customHeight="false" outlineLevel="0" collapsed="false">
      <c r="A177" s="5" t="n">
        <v>9</v>
      </c>
      <c r="B177" s="5" t="s">
        <v>53</v>
      </c>
      <c r="C177" s="6" t="s">
        <v>20</v>
      </c>
      <c r="D177" s="7"/>
      <c r="E177" s="8" t="n">
        <v>86086.52</v>
      </c>
      <c r="F177" s="9"/>
      <c r="G177" s="8" t="n">
        <v>49623.11</v>
      </c>
      <c r="H177" s="0" t="n">
        <f aca="false">H176+F177-E177</f>
        <v>49623.1099999986</v>
      </c>
      <c r="I177" s="10" t="n">
        <f aca="false">H177-G177</f>
        <v>-1.36788003146648E-009</v>
      </c>
    </row>
    <row r="178" customFormat="false" ht="15" hidden="false" customHeight="false" outlineLevel="0" collapsed="false">
      <c r="A178" s="11" t="n">
        <v>9</v>
      </c>
      <c r="B178" s="11" t="s">
        <v>53</v>
      </c>
      <c r="C178" s="12" t="s">
        <v>20</v>
      </c>
      <c r="D178" s="13"/>
      <c r="E178" s="14" t="n">
        <v>24835.92</v>
      </c>
      <c r="F178" s="15"/>
      <c r="G178" s="14" t="n">
        <v>24787.19</v>
      </c>
      <c r="H178" s="0" t="n">
        <f aca="false">H177+F178-E178</f>
        <v>24787.1899999986</v>
      </c>
      <c r="I178" s="10" t="n">
        <f aca="false">H178-G178</f>
        <v>-1.36424205265939E-009</v>
      </c>
    </row>
    <row r="179" customFormat="false" ht="15" hidden="false" customHeight="false" outlineLevel="0" collapsed="false">
      <c r="A179" s="5" t="n">
        <v>9</v>
      </c>
      <c r="B179" s="5" t="s">
        <v>53</v>
      </c>
      <c r="C179" s="6" t="s">
        <v>20</v>
      </c>
      <c r="D179" s="7"/>
      <c r="E179" s="8" t="n">
        <v>8880.83</v>
      </c>
      <c r="F179" s="9"/>
      <c r="G179" s="8" t="n">
        <v>15906.36</v>
      </c>
      <c r="H179" s="0" t="n">
        <f aca="false">H178+F179-E179</f>
        <v>15906.3599999986</v>
      </c>
      <c r="I179" s="10" t="n">
        <f aca="false">H179-G179</f>
        <v>-1.36606104206294E-009</v>
      </c>
    </row>
    <row r="180" customFormat="false" ht="15" hidden="false" customHeight="false" outlineLevel="0" collapsed="false">
      <c r="A180" s="11" t="n">
        <v>9</v>
      </c>
      <c r="B180" s="11" t="s">
        <v>54</v>
      </c>
      <c r="C180" s="12" t="s">
        <v>27</v>
      </c>
      <c r="D180" s="13"/>
      <c r="E180" s="14" t="n">
        <v>936</v>
      </c>
      <c r="F180" s="15"/>
      <c r="G180" s="14" t="n">
        <v>14970.36</v>
      </c>
      <c r="H180" s="0" t="n">
        <f aca="false">H179+F180-E180</f>
        <v>14970.3599999986</v>
      </c>
      <c r="I180" s="10" t="n">
        <f aca="false">H180-G180</f>
        <v>-1.36606104206294E-009</v>
      </c>
    </row>
    <row r="181" customFormat="false" ht="15" hidden="false" customHeight="false" outlineLevel="0" collapsed="false">
      <c r="A181" s="5" t="n">
        <v>9</v>
      </c>
      <c r="B181" s="5" t="s">
        <v>54</v>
      </c>
      <c r="C181" s="6" t="s">
        <v>28</v>
      </c>
      <c r="D181" s="7"/>
      <c r="E181" s="8" t="n">
        <v>6552</v>
      </c>
      <c r="F181" s="9"/>
      <c r="G181" s="8" t="n">
        <v>8418.36</v>
      </c>
      <c r="H181" s="0" t="n">
        <f aca="false">H180+F181-E181</f>
        <v>8418.35999999864</v>
      </c>
      <c r="I181" s="10" t="n">
        <f aca="false">H181-G181</f>
        <v>-1.36606104206294E-009</v>
      </c>
    </row>
    <row r="182" customFormat="false" ht="15" hidden="false" customHeight="false" outlineLevel="0" collapsed="false">
      <c r="A182" s="11" t="n">
        <v>9</v>
      </c>
      <c r="B182" s="11" t="s">
        <v>54</v>
      </c>
      <c r="C182" s="12" t="s">
        <v>29</v>
      </c>
      <c r="D182" s="13"/>
      <c r="E182" s="14" t="n">
        <v>31200</v>
      </c>
      <c r="F182" s="15"/>
      <c r="G182" s="14" t="n">
        <v>-22781.64</v>
      </c>
      <c r="H182" s="0" t="n">
        <f aca="false">H181+F182-E182</f>
        <v>-22781.6400000014</v>
      </c>
      <c r="I182" s="10" t="n">
        <f aca="false">H182-G182</f>
        <v>-1.36788003146648E-009</v>
      </c>
    </row>
    <row r="183" customFormat="false" ht="15" hidden="false" customHeight="false" outlineLevel="0" collapsed="false">
      <c r="A183" s="5" t="n">
        <v>9</v>
      </c>
      <c r="B183" s="5" t="s">
        <v>54</v>
      </c>
      <c r="C183" s="6" t="s">
        <v>13</v>
      </c>
      <c r="D183" s="7"/>
      <c r="E183" s="8" t="n">
        <v>187.2</v>
      </c>
      <c r="F183" s="9"/>
      <c r="G183" s="8" t="n">
        <v>-22968.84</v>
      </c>
      <c r="H183" s="0" t="n">
        <f aca="false">H182+F183-E183</f>
        <v>-22968.8400000014</v>
      </c>
      <c r="I183" s="10" t="n">
        <f aca="false">H183-G183</f>
        <v>-1.36788003146648E-009</v>
      </c>
    </row>
    <row r="184" customFormat="false" ht="15" hidden="false" customHeight="false" outlineLevel="0" collapsed="false">
      <c r="A184" s="11" t="n">
        <v>9</v>
      </c>
      <c r="B184" s="11" t="s">
        <v>54</v>
      </c>
      <c r="C184" s="12" t="s">
        <v>13</v>
      </c>
      <c r="D184" s="13"/>
      <c r="E184" s="14" t="n">
        <v>39.31</v>
      </c>
      <c r="F184" s="15"/>
      <c r="G184" s="14" t="n">
        <v>-23008.15</v>
      </c>
      <c r="H184" s="0" t="n">
        <f aca="false">H183+F184-E184</f>
        <v>-23008.1500000014</v>
      </c>
      <c r="I184" s="10" t="n">
        <f aca="false">H184-G184</f>
        <v>-1.36788003146648E-009</v>
      </c>
    </row>
    <row r="185" customFormat="false" ht="15" hidden="false" customHeight="false" outlineLevel="0" collapsed="false">
      <c r="A185" s="5" t="n">
        <v>9</v>
      </c>
      <c r="B185" s="5" t="s">
        <v>54</v>
      </c>
      <c r="C185" s="6" t="s">
        <v>13</v>
      </c>
      <c r="D185" s="7"/>
      <c r="E185" s="8" t="n">
        <v>5.62</v>
      </c>
      <c r="F185" s="9"/>
      <c r="G185" s="8" t="n">
        <v>-23013.77</v>
      </c>
      <c r="H185" s="0" t="n">
        <f aca="false">H184+F185-E185</f>
        <v>-23013.7700000014</v>
      </c>
      <c r="I185" s="10" t="n">
        <f aca="false">H185-G185</f>
        <v>-1.36788003146648E-009</v>
      </c>
    </row>
    <row r="186" customFormat="false" ht="15" hidden="false" customHeight="false" outlineLevel="0" collapsed="false">
      <c r="A186" s="11" t="n">
        <v>10</v>
      </c>
      <c r="B186" s="11" t="s">
        <v>55</v>
      </c>
      <c r="C186" s="12" t="s">
        <v>10</v>
      </c>
      <c r="D186" s="13"/>
      <c r="E186" s="14" t="n">
        <v>891.6</v>
      </c>
      <c r="F186" s="15"/>
      <c r="G186" s="14" t="n">
        <v>-23905.37</v>
      </c>
      <c r="H186" s="0" t="n">
        <f aca="false">H185+F186-E186</f>
        <v>-23905.3700000014</v>
      </c>
      <c r="I186" s="10" t="n">
        <f aca="false">H186-G186</f>
        <v>-1.36788003146648E-009</v>
      </c>
    </row>
    <row r="187" customFormat="false" ht="15" hidden="false" customHeight="false" outlineLevel="0" collapsed="false">
      <c r="A187" s="5" t="n">
        <v>10</v>
      </c>
      <c r="B187" s="5" t="s">
        <v>55</v>
      </c>
      <c r="C187" s="6" t="s">
        <v>11</v>
      </c>
      <c r="D187" s="7"/>
      <c r="E187" s="8" t="n">
        <v>10.8</v>
      </c>
      <c r="F187" s="9"/>
      <c r="G187" s="8" t="n">
        <v>-23916.17</v>
      </c>
      <c r="H187" s="0" t="n">
        <f aca="false">H186+F187-E187</f>
        <v>-23916.1700000014</v>
      </c>
      <c r="I187" s="10" t="n">
        <f aca="false">H187-G187</f>
        <v>-1.36788003146648E-009</v>
      </c>
    </row>
    <row r="188" customFormat="false" ht="15" hidden="false" customHeight="false" outlineLevel="0" collapsed="false">
      <c r="A188" s="11" t="n">
        <v>10</v>
      </c>
      <c r="B188" s="11" t="s">
        <v>55</v>
      </c>
      <c r="C188" s="12" t="s">
        <v>12</v>
      </c>
      <c r="D188" s="13"/>
      <c r="E188" s="14" t="n">
        <v>93.62</v>
      </c>
      <c r="F188" s="15"/>
      <c r="G188" s="14" t="n">
        <v>-24009.79</v>
      </c>
      <c r="H188" s="0" t="n">
        <f aca="false">H187+F188-E188</f>
        <v>-24009.7900000014</v>
      </c>
      <c r="I188" s="10" t="n">
        <f aca="false">H188-G188</f>
        <v>-1.36424205265939E-009</v>
      </c>
    </row>
    <row r="189" customFormat="false" ht="15" hidden="false" customHeight="false" outlineLevel="0" collapsed="false">
      <c r="A189" s="5" t="n">
        <v>10</v>
      </c>
      <c r="B189" s="5" t="s">
        <v>55</v>
      </c>
      <c r="C189" s="6" t="s">
        <v>13</v>
      </c>
      <c r="D189" s="7"/>
      <c r="E189" s="8" t="n">
        <v>5.35</v>
      </c>
      <c r="F189" s="9"/>
      <c r="G189" s="8" t="n">
        <v>-24015.14</v>
      </c>
      <c r="H189" s="0" t="n">
        <f aca="false">H188+F189-E189</f>
        <v>-24015.1400000014</v>
      </c>
      <c r="I189" s="10" t="n">
        <f aca="false">H189-G189</f>
        <v>-1.36424205265939E-009</v>
      </c>
    </row>
    <row r="190" customFormat="false" ht="15" hidden="false" customHeight="false" outlineLevel="0" collapsed="false">
      <c r="A190" s="11" t="n">
        <v>10</v>
      </c>
      <c r="B190" s="11" t="s">
        <v>55</v>
      </c>
      <c r="C190" s="12" t="s">
        <v>13</v>
      </c>
      <c r="D190" s="13"/>
      <c r="E190" s="14" t="n">
        <v>0.56</v>
      </c>
      <c r="F190" s="15"/>
      <c r="G190" s="14" t="n">
        <v>-24015.7</v>
      </c>
      <c r="H190" s="0" t="n">
        <f aca="false">H189+F190-E190</f>
        <v>-24015.7000000014</v>
      </c>
      <c r="I190" s="10" t="n">
        <f aca="false">H190-G190</f>
        <v>-1.36424205265939E-009</v>
      </c>
    </row>
    <row r="191" customFormat="false" ht="15" hidden="false" customHeight="false" outlineLevel="0" collapsed="false">
      <c r="A191" s="5" t="n">
        <v>10</v>
      </c>
      <c r="B191" s="5" t="s">
        <v>55</v>
      </c>
      <c r="C191" s="6" t="s">
        <v>13</v>
      </c>
      <c r="D191" s="7"/>
      <c r="E191" s="8" t="n">
        <v>0.06</v>
      </c>
      <c r="F191" s="9"/>
      <c r="G191" s="8" t="n">
        <v>-24015.76</v>
      </c>
      <c r="H191" s="0" t="n">
        <f aca="false">H190+F191-E191</f>
        <v>-24015.7600000014</v>
      </c>
      <c r="I191" s="10" t="n">
        <f aca="false">H191-G191</f>
        <v>-1.36788003146648E-009</v>
      </c>
    </row>
    <row r="192" customFormat="false" ht="15" hidden="false" customHeight="false" outlineLevel="0" collapsed="false">
      <c r="A192" s="11" t="n">
        <v>10</v>
      </c>
      <c r="B192" s="11" t="s">
        <v>56</v>
      </c>
      <c r="C192" s="12" t="s">
        <v>25</v>
      </c>
      <c r="D192" s="13"/>
      <c r="E192" s="15"/>
      <c r="F192" s="14" t="n">
        <v>202400</v>
      </c>
      <c r="G192" s="14" t="n">
        <v>178384.24</v>
      </c>
      <c r="H192" s="0" t="n">
        <f aca="false">H191+F192-E192</f>
        <v>178384.239999999</v>
      </c>
      <c r="I192" s="10" t="n">
        <f aca="false">H192-G192</f>
        <v>-1.36788003146648E-009</v>
      </c>
    </row>
    <row r="193" customFormat="false" ht="15" hidden="false" customHeight="false" outlineLevel="0" collapsed="false">
      <c r="A193" s="5" t="n">
        <v>10</v>
      </c>
      <c r="B193" s="5" t="s">
        <v>56</v>
      </c>
      <c r="C193" s="6" t="s">
        <v>13</v>
      </c>
      <c r="D193" s="7"/>
      <c r="E193" s="8" t="n">
        <v>57.46</v>
      </c>
      <c r="F193" s="9"/>
      <c r="G193" s="8" t="n">
        <v>178326.78</v>
      </c>
      <c r="H193" s="0" t="n">
        <f aca="false">H192+F193-E193</f>
        <v>178326.779999999</v>
      </c>
      <c r="I193" s="10" t="n">
        <f aca="false">H193-G193</f>
        <v>-1.36788003146648E-009</v>
      </c>
    </row>
    <row r="194" customFormat="false" ht="15" hidden="false" customHeight="false" outlineLevel="0" collapsed="false">
      <c r="A194" s="11" t="n">
        <v>10</v>
      </c>
      <c r="B194" s="11" t="s">
        <v>56</v>
      </c>
      <c r="C194" s="12" t="s">
        <v>13</v>
      </c>
      <c r="D194" s="13"/>
      <c r="E194" s="14" t="n">
        <v>574.09</v>
      </c>
      <c r="F194" s="15"/>
      <c r="G194" s="14" t="n">
        <v>177752.69</v>
      </c>
      <c r="H194" s="0" t="n">
        <f aca="false">H193+F194-E194</f>
        <v>177752.689999999</v>
      </c>
      <c r="I194" s="10" t="n">
        <f aca="false">H194-G194</f>
        <v>-1.36788003146648E-009</v>
      </c>
    </row>
    <row r="195" customFormat="false" ht="15" hidden="false" customHeight="false" outlineLevel="0" collapsed="false">
      <c r="A195" s="5" t="n">
        <v>10</v>
      </c>
      <c r="B195" s="5" t="s">
        <v>56</v>
      </c>
      <c r="C195" s="6" t="s">
        <v>13</v>
      </c>
      <c r="D195" s="7"/>
      <c r="E195" s="8" t="n">
        <v>582.36</v>
      </c>
      <c r="F195" s="9"/>
      <c r="G195" s="8" t="n">
        <v>177170.33</v>
      </c>
      <c r="H195" s="0" t="n">
        <f aca="false">H194+F195-E195</f>
        <v>177170.329999999</v>
      </c>
      <c r="I195" s="10" t="n">
        <f aca="false">H195-G195</f>
        <v>-1.33877620100975E-009</v>
      </c>
    </row>
    <row r="196" customFormat="false" ht="15" hidden="false" customHeight="false" outlineLevel="0" collapsed="false">
      <c r="A196" s="11" t="n">
        <v>10</v>
      </c>
      <c r="B196" s="11" t="s">
        <v>56</v>
      </c>
      <c r="C196" s="12" t="s">
        <v>14</v>
      </c>
      <c r="D196" s="13"/>
      <c r="E196" s="14" t="n">
        <v>1214.4</v>
      </c>
      <c r="F196" s="15"/>
      <c r="G196" s="14" t="n">
        <v>175955.93</v>
      </c>
      <c r="H196" s="0" t="n">
        <f aca="false">H195+F196-E196</f>
        <v>175955.929999999</v>
      </c>
      <c r="I196" s="10" t="n">
        <f aca="false">H196-G196</f>
        <v>-1.33877620100975E-009</v>
      </c>
    </row>
    <row r="197" customFormat="false" ht="15" hidden="false" customHeight="false" outlineLevel="0" collapsed="false">
      <c r="A197" s="5" t="n">
        <v>10</v>
      </c>
      <c r="B197" s="5" t="s">
        <v>56</v>
      </c>
      <c r="C197" s="6" t="s">
        <v>14</v>
      </c>
      <c r="D197" s="7"/>
      <c r="E197" s="8" t="n">
        <v>370845.27</v>
      </c>
      <c r="F197" s="9"/>
      <c r="G197" s="8" t="n">
        <v>-194889.34</v>
      </c>
      <c r="H197" s="0" t="n">
        <f aca="false">H196+F197-E197</f>
        <v>-194889.340000001</v>
      </c>
      <c r="I197" s="10" t="n">
        <f aca="false">H197-G197</f>
        <v>-1.36788003146648E-009</v>
      </c>
    </row>
    <row r="198" customFormat="false" ht="15" hidden="false" customHeight="false" outlineLevel="0" collapsed="false">
      <c r="A198" s="11" t="n">
        <v>10</v>
      </c>
      <c r="B198" s="11" t="s">
        <v>56</v>
      </c>
      <c r="C198" s="12" t="s">
        <v>14</v>
      </c>
      <c r="D198" s="13"/>
      <c r="E198" s="14" t="n">
        <v>346549.68</v>
      </c>
      <c r="F198" s="15"/>
      <c r="G198" s="14" t="n">
        <v>-541439.02</v>
      </c>
      <c r="H198" s="0" t="n">
        <f aca="false">H197+F198-E198</f>
        <v>-541439.020000001</v>
      </c>
      <c r="I198" s="10" t="n">
        <f aca="false">H198-G198</f>
        <v>0</v>
      </c>
    </row>
    <row r="199" customFormat="false" ht="15" hidden="false" customHeight="false" outlineLevel="0" collapsed="false">
      <c r="A199" s="5" t="n">
        <v>10</v>
      </c>
      <c r="B199" s="5" t="s">
        <v>56</v>
      </c>
      <c r="C199" s="6" t="s">
        <v>20</v>
      </c>
      <c r="D199" s="7"/>
      <c r="E199" s="8" t="n">
        <v>9577.05</v>
      </c>
      <c r="F199" s="9"/>
      <c r="G199" s="8" t="n">
        <v>-551016.07</v>
      </c>
      <c r="H199" s="0" t="n">
        <f aca="false">H198+F199-E199</f>
        <v>-551016.070000002</v>
      </c>
      <c r="I199" s="10" t="n">
        <f aca="false">H199-G199</f>
        <v>0</v>
      </c>
    </row>
    <row r="200" customFormat="false" ht="15" hidden="false" customHeight="false" outlineLevel="0" collapsed="false">
      <c r="A200" s="11" t="n">
        <v>10</v>
      </c>
      <c r="B200" s="11" t="s">
        <v>56</v>
      </c>
      <c r="C200" s="12" t="s">
        <v>20</v>
      </c>
      <c r="D200" s="13"/>
      <c r="E200" s="14" t="n">
        <v>95682.08</v>
      </c>
      <c r="F200" s="15"/>
      <c r="G200" s="14" t="n">
        <v>-646698.15</v>
      </c>
      <c r="H200" s="0" t="n">
        <f aca="false">H199+F200-E200</f>
        <v>-646698.150000001</v>
      </c>
      <c r="I200" s="10" t="n">
        <f aca="false">H200-G200</f>
        <v>0</v>
      </c>
    </row>
    <row r="201" customFormat="false" ht="15" hidden="false" customHeight="false" outlineLevel="0" collapsed="false">
      <c r="A201" s="5" t="n">
        <v>10</v>
      </c>
      <c r="B201" s="5" t="s">
        <v>56</v>
      </c>
      <c r="C201" s="6" t="s">
        <v>20</v>
      </c>
      <c r="D201" s="7"/>
      <c r="E201" s="8" t="n">
        <v>97060.28</v>
      </c>
      <c r="F201" s="9"/>
      <c r="G201" s="8" t="n">
        <v>-743758.43</v>
      </c>
      <c r="H201" s="0" t="n">
        <f aca="false">H200+F201-E201</f>
        <v>-743758.430000001</v>
      </c>
      <c r="I201" s="10" t="n">
        <f aca="false">H201-G201</f>
        <v>0</v>
      </c>
    </row>
    <row r="202" customFormat="false" ht="15" hidden="false" customHeight="false" outlineLevel="0" collapsed="false">
      <c r="A202" s="11" t="n">
        <v>10</v>
      </c>
      <c r="B202" s="11" t="s">
        <v>56</v>
      </c>
      <c r="C202" s="12" t="s">
        <v>23</v>
      </c>
      <c r="D202" s="13"/>
      <c r="E202" s="14" t="n">
        <v>118824400</v>
      </c>
      <c r="F202" s="15"/>
      <c r="G202" s="14" t="n">
        <v>-119568158.43</v>
      </c>
      <c r="H202" s="0" t="n">
        <f aca="false">H201+F202-E202</f>
        <v>-119568158.43</v>
      </c>
      <c r="I202" s="10" t="n">
        <f aca="false">H202-G202</f>
        <v>0</v>
      </c>
    </row>
    <row r="203" customFormat="false" ht="15" hidden="false" customHeight="false" outlineLevel="0" collapsed="false">
      <c r="A203" s="5" t="n">
        <v>10</v>
      </c>
      <c r="B203" s="5" t="s">
        <v>56</v>
      </c>
      <c r="C203" s="6" t="s">
        <v>15</v>
      </c>
      <c r="D203" s="7"/>
      <c r="E203" s="9"/>
      <c r="F203" s="8" t="n">
        <v>61807545</v>
      </c>
      <c r="G203" s="8" t="n">
        <v>-57760613.43</v>
      </c>
      <c r="H203" s="0" t="n">
        <f aca="false">H202+F203-E203</f>
        <v>-57760613.43</v>
      </c>
      <c r="I203" s="10" t="n">
        <f aca="false">H203-G203</f>
        <v>0</v>
      </c>
    </row>
    <row r="204" customFormat="false" ht="15" hidden="false" customHeight="false" outlineLevel="0" collapsed="false">
      <c r="A204" s="11" t="n">
        <v>10</v>
      </c>
      <c r="B204" s="11" t="s">
        <v>56</v>
      </c>
      <c r="C204" s="12" t="s">
        <v>15</v>
      </c>
      <c r="D204" s="13"/>
      <c r="E204" s="15"/>
      <c r="F204" s="14" t="n">
        <v>57758280</v>
      </c>
      <c r="G204" s="14" t="n">
        <v>-2333.43</v>
      </c>
      <c r="H204" s="0" t="n">
        <f aca="false">H203+F204-E204</f>
        <v>-2333.43000000715</v>
      </c>
      <c r="I204" s="10" t="n">
        <f aca="false">H204-G204</f>
        <v>-7.15272108209319E-009</v>
      </c>
    </row>
    <row r="205" customFormat="false" ht="15" hidden="false" customHeight="false" outlineLevel="0" collapsed="false">
      <c r="A205" s="5" t="n">
        <v>10</v>
      </c>
      <c r="B205" s="5" t="s">
        <v>57</v>
      </c>
      <c r="C205" s="6" t="s">
        <v>14</v>
      </c>
      <c r="D205" s="7"/>
      <c r="E205" s="8" t="n">
        <v>122275.98</v>
      </c>
      <c r="F205" s="9"/>
      <c r="G205" s="8" t="n">
        <v>-124609.41</v>
      </c>
      <c r="H205" s="0" t="n">
        <f aca="false">H204+F205-E205</f>
        <v>-124609.410000007</v>
      </c>
      <c r="I205" s="10" t="n">
        <f aca="false">H205-G205</f>
        <v>-7.14499037712812E-009</v>
      </c>
    </row>
    <row r="206" customFormat="false" ht="15" hidden="false" customHeight="false" outlineLevel="0" collapsed="false">
      <c r="A206" s="11" t="n">
        <v>10</v>
      </c>
      <c r="B206" s="11" t="s">
        <v>57</v>
      </c>
      <c r="C206" s="12" t="s">
        <v>15</v>
      </c>
      <c r="D206" s="13"/>
      <c r="E206" s="15"/>
      <c r="F206" s="14" t="n">
        <v>20379330</v>
      </c>
      <c r="G206" s="14" t="n">
        <v>20254720.59</v>
      </c>
      <c r="H206" s="0" t="n">
        <f aca="false">H205+F206-E206</f>
        <v>20254720.59</v>
      </c>
      <c r="I206" s="10" t="n">
        <f aca="false">H206-G206</f>
        <v>0</v>
      </c>
    </row>
    <row r="207" customFormat="false" ht="15" hidden="false" customHeight="false" outlineLevel="0" collapsed="false">
      <c r="A207" s="5" t="n">
        <v>10</v>
      </c>
      <c r="B207" s="5" t="s">
        <v>58</v>
      </c>
      <c r="C207" s="6" t="s">
        <v>23</v>
      </c>
      <c r="D207" s="7"/>
      <c r="E207" s="8" t="n">
        <v>20254000</v>
      </c>
      <c r="F207" s="9"/>
      <c r="G207" s="8" t="n">
        <v>720.59</v>
      </c>
      <c r="H207" s="0" t="n">
        <f aca="false">H206+F207-E207</f>
        <v>720.5899999924</v>
      </c>
      <c r="I207" s="10" t="n">
        <f aca="false">H207-G207</f>
        <v>-7.59962404117687E-009</v>
      </c>
    </row>
    <row r="208" customFormat="false" ht="15" hidden="false" customHeight="false" outlineLevel="0" collapsed="false">
      <c r="A208" s="11" t="n">
        <v>10</v>
      </c>
      <c r="B208" s="11" t="s">
        <v>59</v>
      </c>
      <c r="C208" s="12" t="s">
        <v>27</v>
      </c>
      <c r="D208" s="13"/>
      <c r="E208" s="14" t="n">
        <v>936</v>
      </c>
      <c r="F208" s="15"/>
      <c r="G208" s="14" t="n">
        <v>-215.41</v>
      </c>
      <c r="H208" s="0" t="n">
        <f aca="false">H207+F208-E208</f>
        <v>-215.4100000076</v>
      </c>
      <c r="I208" s="10" t="n">
        <f aca="false">H208-G208</f>
        <v>-7.59959561946744E-009</v>
      </c>
    </row>
    <row r="209" customFormat="false" ht="15" hidden="false" customHeight="false" outlineLevel="0" collapsed="false">
      <c r="A209" s="5" t="n">
        <v>10</v>
      </c>
      <c r="B209" s="5" t="s">
        <v>59</v>
      </c>
      <c r="C209" s="6" t="s">
        <v>28</v>
      </c>
      <c r="D209" s="7"/>
      <c r="E209" s="8" t="n">
        <v>6552</v>
      </c>
      <c r="F209" s="9"/>
      <c r="G209" s="8" t="n">
        <v>-6767.41</v>
      </c>
      <c r="H209" s="0" t="n">
        <f aca="false">H208+F209-E209</f>
        <v>-6767.4100000076</v>
      </c>
      <c r="I209" s="10" t="n">
        <f aca="false">H209-G209</f>
        <v>-7.59973772801459E-009</v>
      </c>
    </row>
    <row r="210" customFormat="false" ht="15" hidden="false" customHeight="false" outlineLevel="0" collapsed="false">
      <c r="A210" s="11" t="n">
        <v>10</v>
      </c>
      <c r="B210" s="11" t="s">
        <v>59</v>
      </c>
      <c r="C210" s="12" t="s">
        <v>29</v>
      </c>
      <c r="D210" s="13"/>
      <c r="E210" s="14" t="n">
        <v>31200</v>
      </c>
      <c r="F210" s="15"/>
      <c r="G210" s="14" t="n">
        <v>-37967.41</v>
      </c>
      <c r="H210" s="0" t="n">
        <f aca="false">H209+F210-E210</f>
        <v>-37967.4100000076</v>
      </c>
      <c r="I210" s="10" t="n">
        <f aca="false">H210-G210</f>
        <v>-7.5960997492075E-009</v>
      </c>
    </row>
    <row r="211" customFormat="false" ht="15" hidden="false" customHeight="false" outlineLevel="0" collapsed="false">
      <c r="A211" s="5" t="n">
        <v>10</v>
      </c>
      <c r="B211" s="5" t="s">
        <v>59</v>
      </c>
      <c r="C211" s="6" t="s">
        <v>13</v>
      </c>
      <c r="D211" s="7"/>
      <c r="E211" s="8" t="n">
        <v>187.2</v>
      </c>
      <c r="F211" s="9"/>
      <c r="G211" s="8" t="n">
        <v>-38154.61</v>
      </c>
      <c r="H211" s="0" t="n">
        <f aca="false">H210+F211-E211</f>
        <v>-38154.6100000076</v>
      </c>
      <c r="I211" s="10" t="n">
        <f aca="false">H211-G211</f>
        <v>-7.5960997492075E-009</v>
      </c>
    </row>
    <row r="212" customFormat="false" ht="15" hidden="false" customHeight="false" outlineLevel="0" collapsed="false">
      <c r="A212" s="11" t="n">
        <v>10</v>
      </c>
      <c r="B212" s="11" t="s">
        <v>59</v>
      </c>
      <c r="C212" s="12" t="s">
        <v>13</v>
      </c>
      <c r="D212" s="13"/>
      <c r="E212" s="14" t="n">
        <v>39.31</v>
      </c>
      <c r="F212" s="15"/>
      <c r="G212" s="14" t="n">
        <v>-38193.92</v>
      </c>
      <c r="H212" s="0" t="n">
        <f aca="false">H211+F212-E212</f>
        <v>-38193.9200000076</v>
      </c>
      <c r="I212" s="10" t="n">
        <f aca="false">H212-G212</f>
        <v>-7.5960997492075E-009</v>
      </c>
    </row>
    <row r="213" customFormat="false" ht="15" hidden="false" customHeight="false" outlineLevel="0" collapsed="false">
      <c r="A213" s="5" t="n">
        <v>10</v>
      </c>
      <c r="B213" s="5" t="s">
        <v>59</v>
      </c>
      <c r="C213" s="6" t="s">
        <v>13</v>
      </c>
      <c r="D213" s="7"/>
      <c r="E213" s="8" t="n">
        <v>5.62</v>
      </c>
      <c r="F213" s="9"/>
      <c r="G213" s="8" t="n">
        <v>-38199.54</v>
      </c>
      <c r="H213" s="0" t="n">
        <f aca="false">H212+F213-E213</f>
        <v>-38199.5400000076</v>
      </c>
      <c r="I213" s="10" t="n">
        <f aca="false">H213-G213</f>
        <v>-7.5960997492075E-009</v>
      </c>
    </row>
    <row r="214" customFormat="false" ht="15" hidden="false" customHeight="false" outlineLevel="0" collapsed="false">
      <c r="A214" s="11" t="n">
        <v>11</v>
      </c>
      <c r="B214" s="11" t="s">
        <v>60</v>
      </c>
      <c r="C214" s="12" t="s">
        <v>10</v>
      </c>
      <c r="D214" s="13"/>
      <c r="E214" s="14" t="n">
        <v>563.59</v>
      </c>
      <c r="F214" s="15"/>
      <c r="G214" s="14" t="n">
        <v>-38763.13</v>
      </c>
      <c r="H214" s="0" t="n">
        <f aca="false">H213+F214-E214</f>
        <v>-38763.1300000076</v>
      </c>
      <c r="I214" s="10" t="n">
        <f aca="false">H214-G214</f>
        <v>-7.5960997492075E-009</v>
      </c>
    </row>
    <row r="215" customFormat="false" ht="15" hidden="false" customHeight="false" outlineLevel="0" collapsed="false">
      <c r="A215" s="5" t="n">
        <v>11</v>
      </c>
      <c r="B215" s="5" t="s">
        <v>60</v>
      </c>
      <c r="C215" s="6" t="s">
        <v>11</v>
      </c>
      <c r="D215" s="7"/>
      <c r="E215" s="8" t="n">
        <v>6.83</v>
      </c>
      <c r="F215" s="9"/>
      <c r="G215" s="8" t="n">
        <v>-38769.96</v>
      </c>
      <c r="H215" s="0" t="n">
        <f aca="false">H214+F215-E215</f>
        <v>-38769.9600000076</v>
      </c>
      <c r="I215" s="10" t="n">
        <f aca="false">H215-G215</f>
        <v>-7.5960997492075E-009</v>
      </c>
    </row>
    <row r="216" customFormat="false" ht="15" hidden="false" customHeight="false" outlineLevel="0" collapsed="false">
      <c r="A216" s="11" t="n">
        <v>11</v>
      </c>
      <c r="B216" s="11" t="s">
        <v>60</v>
      </c>
      <c r="C216" s="12" t="s">
        <v>12</v>
      </c>
      <c r="D216" s="13"/>
      <c r="E216" s="14" t="n">
        <v>59.18</v>
      </c>
      <c r="F216" s="15"/>
      <c r="G216" s="14" t="n">
        <v>-38829.14</v>
      </c>
      <c r="H216" s="0" t="n">
        <f aca="false">H215+F216-E216</f>
        <v>-38829.1400000076</v>
      </c>
      <c r="I216" s="10" t="n">
        <f aca="false">H216-G216</f>
        <v>-7.5960997492075E-009</v>
      </c>
    </row>
    <row r="217" customFormat="false" ht="15" hidden="false" customHeight="false" outlineLevel="0" collapsed="false">
      <c r="A217" s="5" t="n">
        <v>11</v>
      </c>
      <c r="B217" s="5" t="s">
        <v>60</v>
      </c>
      <c r="C217" s="6" t="s">
        <v>13</v>
      </c>
      <c r="D217" s="7"/>
      <c r="E217" s="8" t="n">
        <v>3.38</v>
      </c>
      <c r="F217" s="9"/>
      <c r="G217" s="8" t="n">
        <v>-38832.52</v>
      </c>
      <c r="H217" s="0" t="n">
        <f aca="false">H216+F217-E217</f>
        <v>-38832.5200000076</v>
      </c>
      <c r="I217" s="10" t="n">
        <f aca="false">H217-G217</f>
        <v>-7.5960997492075E-009</v>
      </c>
    </row>
    <row r="218" customFormat="false" ht="15" hidden="false" customHeight="false" outlineLevel="0" collapsed="false">
      <c r="A218" s="11" t="n">
        <v>11</v>
      </c>
      <c r="B218" s="11" t="s">
        <v>60</v>
      </c>
      <c r="C218" s="12" t="s">
        <v>13</v>
      </c>
      <c r="D218" s="13"/>
      <c r="E218" s="14" t="n">
        <v>0.36</v>
      </c>
      <c r="F218" s="15"/>
      <c r="G218" s="14" t="n">
        <v>-38832.88</v>
      </c>
      <c r="H218" s="0" t="n">
        <f aca="false">H217+F218-E218</f>
        <v>-38832.8800000076</v>
      </c>
      <c r="I218" s="10" t="n">
        <f aca="false">H218-G218</f>
        <v>-7.5960997492075E-009</v>
      </c>
    </row>
    <row r="219" customFormat="false" ht="15" hidden="false" customHeight="false" outlineLevel="0" collapsed="false">
      <c r="A219" s="5" t="n">
        <v>11</v>
      </c>
      <c r="B219" s="5" t="s">
        <v>60</v>
      </c>
      <c r="C219" s="6" t="s">
        <v>13</v>
      </c>
      <c r="D219" s="7"/>
      <c r="E219" s="8" t="n">
        <v>0.04</v>
      </c>
      <c r="F219" s="9"/>
      <c r="G219" s="8" t="n">
        <v>-38832.92</v>
      </c>
      <c r="H219" s="0" t="n">
        <f aca="false">H218+F219-E219</f>
        <v>-38832.9200000076</v>
      </c>
      <c r="I219" s="10" t="n">
        <f aca="false">H219-G219</f>
        <v>-7.5960997492075E-009</v>
      </c>
    </row>
    <row r="220" customFormat="false" ht="15" hidden="false" customHeight="false" outlineLevel="0" collapsed="false">
      <c r="A220" s="11" t="n">
        <v>11</v>
      </c>
      <c r="B220" s="11" t="s">
        <v>61</v>
      </c>
      <c r="C220" s="12" t="s">
        <v>13</v>
      </c>
      <c r="D220" s="13"/>
      <c r="E220" s="14" t="n">
        <v>16.5</v>
      </c>
      <c r="F220" s="15"/>
      <c r="G220" s="14" t="n">
        <v>-38849.42</v>
      </c>
      <c r="H220" s="0" t="n">
        <f aca="false">H219+F220-E220</f>
        <v>-38849.4200000076</v>
      </c>
      <c r="I220" s="10" t="n">
        <f aca="false">H220-G220</f>
        <v>-7.5960997492075E-009</v>
      </c>
    </row>
    <row r="221" customFormat="false" ht="15" hidden="false" customHeight="false" outlineLevel="0" collapsed="false">
      <c r="A221" s="5" t="n">
        <v>11</v>
      </c>
      <c r="B221" s="5" t="s">
        <v>61</v>
      </c>
      <c r="C221" s="6" t="s">
        <v>13</v>
      </c>
      <c r="D221" s="7"/>
      <c r="E221" s="8" t="n">
        <v>458.29</v>
      </c>
      <c r="F221" s="9"/>
      <c r="G221" s="8" t="n">
        <v>-39307.71</v>
      </c>
      <c r="H221" s="0" t="n">
        <f aca="false">H220+F221-E221</f>
        <v>-39307.7100000076</v>
      </c>
      <c r="I221" s="10" t="n">
        <f aca="false">H221-G221</f>
        <v>-7.5960997492075E-009</v>
      </c>
    </row>
    <row r="222" customFormat="false" ht="15" hidden="false" customHeight="false" outlineLevel="0" collapsed="false">
      <c r="A222" s="11" t="n">
        <v>11</v>
      </c>
      <c r="B222" s="11" t="s">
        <v>61</v>
      </c>
      <c r="C222" s="12" t="s">
        <v>13</v>
      </c>
      <c r="D222" s="13"/>
      <c r="E222" s="14" t="n">
        <v>345.87</v>
      </c>
      <c r="F222" s="15"/>
      <c r="G222" s="14" t="n">
        <v>-39653.58</v>
      </c>
      <c r="H222" s="0" t="n">
        <f aca="false">H221+F222-E222</f>
        <v>-39653.5800000076</v>
      </c>
      <c r="I222" s="10" t="n">
        <f aca="false">H222-G222</f>
        <v>-7.5960997492075E-009</v>
      </c>
    </row>
    <row r="223" customFormat="false" ht="15" hidden="false" customHeight="false" outlineLevel="0" collapsed="false">
      <c r="A223" s="5" t="n">
        <v>11</v>
      </c>
      <c r="B223" s="5" t="s">
        <v>61</v>
      </c>
      <c r="C223" s="6" t="s">
        <v>13</v>
      </c>
      <c r="D223" s="7"/>
      <c r="E223" s="8" t="n">
        <v>524.18</v>
      </c>
      <c r="F223" s="9"/>
      <c r="G223" s="8" t="n">
        <v>-40177.76</v>
      </c>
      <c r="H223" s="0" t="n">
        <f aca="false">H222+F223-E223</f>
        <v>-40177.7600000076</v>
      </c>
      <c r="I223" s="10" t="n">
        <f aca="false">H223-G223</f>
        <v>-7.5960997492075E-009</v>
      </c>
    </row>
    <row r="224" customFormat="false" ht="15" hidden="false" customHeight="false" outlineLevel="0" collapsed="false">
      <c r="A224" s="11" t="n">
        <v>11</v>
      </c>
      <c r="B224" s="11" t="s">
        <v>61</v>
      </c>
      <c r="C224" s="12" t="s">
        <v>14</v>
      </c>
      <c r="D224" s="13"/>
      <c r="E224" s="14" t="n">
        <v>1650</v>
      </c>
      <c r="F224" s="15"/>
      <c r="G224" s="14" t="n">
        <v>-41827.76</v>
      </c>
      <c r="H224" s="0" t="n">
        <f aca="false">H223+F224-E224</f>
        <v>-41827.7600000076</v>
      </c>
      <c r="I224" s="10" t="n">
        <f aca="false">H224-G224</f>
        <v>-7.5960997492075E-009</v>
      </c>
    </row>
    <row r="225" customFormat="false" ht="15" hidden="false" customHeight="false" outlineLevel="0" collapsed="false">
      <c r="A225" s="5" t="n">
        <v>11</v>
      </c>
      <c r="B225" s="5" t="s">
        <v>61</v>
      </c>
      <c r="C225" s="6" t="s">
        <v>20</v>
      </c>
      <c r="D225" s="7"/>
      <c r="E225" s="8" t="n">
        <v>76382.19</v>
      </c>
      <c r="F225" s="9"/>
      <c r="G225" s="8" t="n">
        <v>-118209.95</v>
      </c>
      <c r="H225" s="0" t="n">
        <f aca="false">H224+F225-E225</f>
        <v>-118209.950000008</v>
      </c>
      <c r="I225" s="10" t="n">
        <f aca="false">H225-G225</f>
        <v>-7.61065166443586E-009</v>
      </c>
    </row>
    <row r="226" customFormat="false" ht="15" hidden="false" customHeight="false" outlineLevel="0" collapsed="false">
      <c r="A226" s="11" t="n">
        <v>11</v>
      </c>
      <c r="B226" s="11" t="s">
        <v>61</v>
      </c>
      <c r="C226" s="12" t="s">
        <v>20</v>
      </c>
      <c r="D226" s="13"/>
      <c r="E226" s="14" t="n">
        <v>57645.67</v>
      </c>
      <c r="F226" s="15"/>
      <c r="G226" s="14" t="n">
        <v>-175855.62</v>
      </c>
      <c r="H226" s="0" t="n">
        <f aca="false">H225+F226-E226</f>
        <v>-175855.620000008</v>
      </c>
      <c r="I226" s="10" t="n">
        <f aca="false">H226-G226</f>
        <v>-7.62520357966423E-009</v>
      </c>
    </row>
    <row r="227" customFormat="false" ht="15" hidden="false" customHeight="false" outlineLevel="0" collapsed="false">
      <c r="A227" s="5" t="n">
        <v>11</v>
      </c>
      <c r="B227" s="5" t="s">
        <v>61</v>
      </c>
      <c r="C227" s="6" t="s">
        <v>20</v>
      </c>
      <c r="D227" s="7"/>
      <c r="E227" s="8" t="n">
        <v>87364.04</v>
      </c>
      <c r="F227" s="9"/>
      <c r="G227" s="8" t="n">
        <v>-263219.66</v>
      </c>
      <c r="H227" s="0" t="n">
        <f aca="false">H226+F227-E227</f>
        <v>-263219.660000008</v>
      </c>
      <c r="I227" s="10" t="n">
        <f aca="false">H227-G227</f>
        <v>-7.62520357966423E-009</v>
      </c>
    </row>
    <row r="228" customFormat="false" ht="15" hidden="false" customHeight="false" outlineLevel="0" collapsed="false">
      <c r="A228" s="11" t="n">
        <v>11</v>
      </c>
      <c r="B228" s="11" t="s">
        <v>61</v>
      </c>
      <c r="C228" s="12" t="s">
        <v>16</v>
      </c>
      <c r="D228" s="13"/>
      <c r="E228" s="14" t="n">
        <v>2750</v>
      </c>
      <c r="F228" s="15"/>
      <c r="G228" s="14" t="n">
        <v>-265969.66</v>
      </c>
      <c r="H228" s="0" t="n">
        <f aca="false">H227+F228-E228</f>
        <v>-265969.660000008</v>
      </c>
      <c r="I228" s="10" t="n">
        <f aca="false">H228-G228</f>
        <v>-7.62520357966423E-009</v>
      </c>
    </row>
    <row r="229" customFormat="false" ht="15" hidden="false" customHeight="false" outlineLevel="0" collapsed="false">
      <c r="A229" s="5" t="n">
        <v>11</v>
      </c>
      <c r="B229" s="5" t="s">
        <v>61</v>
      </c>
      <c r="C229" s="6" t="s">
        <v>35</v>
      </c>
      <c r="D229" s="7"/>
      <c r="E229" s="9"/>
      <c r="F229" s="8" t="n">
        <v>275000</v>
      </c>
      <c r="G229" s="8" t="n">
        <v>9030.34</v>
      </c>
      <c r="H229" s="0" t="n">
        <f aca="false">H228+F229-E229</f>
        <v>9030.3399999924</v>
      </c>
      <c r="I229" s="10" t="n">
        <f aca="false">H229-G229</f>
        <v>-7.59973772801459E-009</v>
      </c>
    </row>
    <row r="230" customFormat="false" ht="15" hidden="false" customHeight="false" outlineLevel="0" collapsed="false">
      <c r="A230" s="11" t="n">
        <v>11</v>
      </c>
      <c r="B230" s="11" t="s">
        <v>62</v>
      </c>
      <c r="C230" s="12" t="s">
        <v>27</v>
      </c>
      <c r="D230" s="13"/>
      <c r="E230" s="14" t="n">
        <v>1077</v>
      </c>
      <c r="F230" s="15"/>
      <c r="G230" s="14" t="n">
        <v>7953.34</v>
      </c>
      <c r="H230" s="0" t="n">
        <f aca="false">H229+F230-E230</f>
        <v>7953.3399999924</v>
      </c>
      <c r="I230" s="10" t="n">
        <f aca="false">H230-G230</f>
        <v>-7.59973772801459E-009</v>
      </c>
    </row>
    <row r="231" customFormat="false" ht="15" hidden="false" customHeight="false" outlineLevel="0" collapsed="false">
      <c r="A231" s="5" t="n">
        <v>11</v>
      </c>
      <c r="B231" s="5" t="s">
        <v>62</v>
      </c>
      <c r="C231" s="6" t="s">
        <v>28</v>
      </c>
      <c r="D231" s="7"/>
      <c r="E231" s="8" t="n">
        <v>7539</v>
      </c>
      <c r="F231" s="9"/>
      <c r="G231" s="8" t="n">
        <v>414.34</v>
      </c>
      <c r="H231" s="0" t="n">
        <f aca="false">H230+F231-E231</f>
        <v>414.3399999924</v>
      </c>
      <c r="I231" s="10" t="n">
        <f aca="false">H231-G231</f>
        <v>-7.59956719775801E-009</v>
      </c>
    </row>
    <row r="232" customFormat="false" ht="15" hidden="false" customHeight="false" outlineLevel="0" collapsed="false">
      <c r="A232" s="11" t="n">
        <v>11</v>
      </c>
      <c r="B232" s="11" t="s">
        <v>62</v>
      </c>
      <c r="C232" s="12" t="s">
        <v>29</v>
      </c>
      <c r="D232" s="13"/>
      <c r="E232" s="14" t="n">
        <v>35900</v>
      </c>
      <c r="F232" s="15"/>
      <c r="G232" s="14" t="n">
        <v>-35485.66</v>
      </c>
      <c r="H232" s="0" t="n">
        <f aca="false">H231+F232-E232</f>
        <v>-35485.6600000076</v>
      </c>
      <c r="I232" s="10" t="n">
        <f aca="false">H232-G232</f>
        <v>-7.5960997492075E-009</v>
      </c>
    </row>
    <row r="233" customFormat="false" ht="15" hidden="false" customHeight="false" outlineLevel="0" collapsed="false">
      <c r="A233" s="5" t="n">
        <v>11</v>
      </c>
      <c r="B233" s="5" t="s">
        <v>62</v>
      </c>
      <c r="C233" s="6" t="s">
        <v>13</v>
      </c>
      <c r="D233" s="7"/>
      <c r="E233" s="8" t="n">
        <v>215.4</v>
      </c>
      <c r="F233" s="9"/>
      <c r="G233" s="8" t="n">
        <v>-35701.06</v>
      </c>
      <c r="H233" s="0" t="n">
        <f aca="false">H232+F233-E233</f>
        <v>-35701.0600000076</v>
      </c>
      <c r="I233" s="10" t="n">
        <f aca="false">H233-G233</f>
        <v>-7.60337570682168E-009</v>
      </c>
    </row>
    <row r="234" customFormat="false" ht="15" hidden="false" customHeight="false" outlineLevel="0" collapsed="false">
      <c r="A234" s="11" t="n">
        <v>11</v>
      </c>
      <c r="B234" s="11" t="s">
        <v>62</v>
      </c>
      <c r="C234" s="12" t="s">
        <v>13</v>
      </c>
      <c r="D234" s="13"/>
      <c r="E234" s="14" t="n">
        <v>45.23</v>
      </c>
      <c r="F234" s="15"/>
      <c r="G234" s="14" t="n">
        <v>-35746.29</v>
      </c>
      <c r="H234" s="0" t="n">
        <f aca="false">H233+F234-E234</f>
        <v>-35746.2900000076</v>
      </c>
      <c r="I234" s="10" t="n">
        <f aca="false">H234-G234</f>
        <v>-7.60337570682168E-009</v>
      </c>
    </row>
    <row r="235" customFormat="false" ht="15" hidden="false" customHeight="false" outlineLevel="0" collapsed="false">
      <c r="A235" s="5" t="n">
        <v>11</v>
      </c>
      <c r="B235" s="5" t="s">
        <v>62</v>
      </c>
      <c r="C235" s="6" t="s">
        <v>13</v>
      </c>
      <c r="D235" s="7"/>
      <c r="E235" s="8" t="n">
        <v>6.46</v>
      </c>
      <c r="F235" s="9"/>
      <c r="G235" s="8" t="n">
        <v>-35752.75</v>
      </c>
      <c r="H235" s="0" t="n">
        <f aca="false">H234+F235-E235</f>
        <v>-35752.7500000076</v>
      </c>
      <c r="I235" s="10" t="n">
        <f aca="false">H235-G235</f>
        <v>-7.60337570682168E-009</v>
      </c>
    </row>
    <row r="236" customFormat="false" ht="15" hidden="false" customHeight="false" outlineLevel="0" collapsed="false">
      <c r="A236" s="11" t="n">
        <v>12</v>
      </c>
      <c r="B236" s="11" t="s">
        <v>63</v>
      </c>
      <c r="C236" s="12" t="s">
        <v>10</v>
      </c>
      <c r="D236" s="13"/>
      <c r="E236" s="14" t="n">
        <v>615.26</v>
      </c>
      <c r="F236" s="15"/>
      <c r="G236" s="14" t="n">
        <v>-36368.01</v>
      </c>
      <c r="H236" s="0" t="n">
        <f aca="false">H235+F236-E236</f>
        <v>-36368.0100000076</v>
      </c>
      <c r="I236" s="10" t="n">
        <f aca="false">H236-G236</f>
        <v>-7.60337570682168E-009</v>
      </c>
    </row>
    <row r="237" customFormat="false" ht="15" hidden="false" customHeight="false" outlineLevel="0" collapsed="false">
      <c r="A237" s="5" t="n">
        <v>12</v>
      </c>
      <c r="B237" s="5" t="s">
        <v>63</v>
      </c>
      <c r="C237" s="6" t="s">
        <v>11</v>
      </c>
      <c r="D237" s="7"/>
      <c r="E237" s="8" t="n">
        <v>7.45</v>
      </c>
      <c r="F237" s="9"/>
      <c r="G237" s="8" t="n">
        <v>-36375.46</v>
      </c>
      <c r="H237" s="0" t="n">
        <f aca="false">H236+F237-E237</f>
        <v>-36375.4600000076</v>
      </c>
      <c r="I237" s="10" t="n">
        <f aca="false">H237-G237</f>
        <v>-7.60337570682168E-009</v>
      </c>
    </row>
    <row r="238" customFormat="false" ht="15" hidden="false" customHeight="false" outlineLevel="0" collapsed="false">
      <c r="A238" s="11" t="n">
        <v>12</v>
      </c>
      <c r="B238" s="11" t="s">
        <v>63</v>
      </c>
      <c r="C238" s="12" t="s">
        <v>12</v>
      </c>
      <c r="D238" s="13"/>
      <c r="E238" s="14" t="n">
        <v>64.6</v>
      </c>
      <c r="F238" s="15"/>
      <c r="G238" s="14" t="n">
        <v>-36440.06</v>
      </c>
      <c r="H238" s="0" t="n">
        <f aca="false">H237+F238-E238</f>
        <v>-36440.0600000076</v>
      </c>
      <c r="I238" s="10" t="n">
        <f aca="false">H238-G238</f>
        <v>-7.60337570682168E-009</v>
      </c>
    </row>
    <row r="239" customFormat="false" ht="15" hidden="false" customHeight="false" outlineLevel="0" collapsed="false">
      <c r="A239" s="5" t="n">
        <v>12</v>
      </c>
      <c r="B239" s="5" t="s">
        <v>63</v>
      </c>
      <c r="C239" s="6" t="s">
        <v>13</v>
      </c>
      <c r="D239" s="7"/>
      <c r="E239" s="8" t="n">
        <v>3.69</v>
      </c>
      <c r="F239" s="9"/>
      <c r="G239" s="8" t="n">
        <v>-36443.75</v>
      </c>
      <c r="H239" s="0" t="n">
        <f aca="false">H238+F239-E239</f>
        <v>-36443.7500000076</v>
      </c>
      <c r="I239" s="10" t="n">
        <f aca="false">H239-G239</f>
        <v>-7.60337570682168E-009</v>
      </c>
    </row>
    <row r="240" customFormat="false" ht="15" hidden="false" customHeight="false" outlineLevel="0" collapsed="false">
      <c r="A240" s="11" t="n">
        <v>12</v>
      </c>
      <c r="B240" s="11" t="s">
        <v>63</v>
      </c>
      <c r="C240" s="12" t="s">
        <v>13</v>
      </c>
      <c r="D240" s="13"/>
      <c r="E240" s="14" t="n">
        <v>0.39</v>
      </c>
      <c r="F240" s="15"/>
      <c r="G240" s="14" t="n">
        <v>-36444.14</v>
      </c>
      <c r="H240" s="0" t="n">
        <f aca="false">H239+F240-E240</f>
        <v>-36444.1400000076</v>
      </c>
      <c r="I240" s="10" t="n">
        <f aca="false">H240-G240</f>
        <v>-7.60337570682168E-009</v>
      </c>
    </row>
    <row r="241" customFormat="false" ht="15" hidden="false" customHeight="false" outlineLevel="0" collapsed="false">
      <c r="A241" s="5" t="n">
        <v>12</v>
      </c>
      <c r="B241" s="5" t="s">
        <v>63</v>
      </c>
      <c r="C241" s="6" t="s">
        <v>13</v>
      </c>
      <c r="D241" s="7"/>
      <c r="E241" s="8" t="n">
        <v>0.04</v>
      </c>
      <c r="F241" s="9"/>
      <c r="G241" s="8" t="n">
        <v>-36444.18</v>
      </c>
      <c r="H241" s="0" t="n">
        <f aca="false">H240+F241-E241</f>
        <v>-36444.1800000076</v>
      </c>
      <c r="I241" s="10" t="n">
        <f aca="false">H241-G241</f>
        <v>-7.60337570682168E-009</v>
      </c>
    </row>
    <row r="242" customFormat="false" ht="15" hidden="false" customHeight="false" outlineLevel="0" collapsed="false">
      <c r="A242" s="11" t="n">
        <v>12</v>
      </c>
      <c r="B242" s="11" t="s">
        <v>64</v>
      </c>
      <c r="C242" s="12" t="s">
        <v>27</v>
      </c>
      <c r="D242" s="13"/>
      <c r="E242" s="14" t="n">
        <v>1077</v>
      </c>
      <c r="F242" s="15"/>
      <c r="G242" s="14" t="n">
        <v>-37521.18</v>
      </c>
      <c r="H242" s="0" t="n">
        <f aca="false">H241+F242-E242</f>
        <v>-37521.1800000076</v>
      </c>
      <c r="I242" s="10" t="n">
        <f aca="false">H242-G242</f>
        <v>-7.60337570682168E-009</v>
      </c>
    </row>
    <row r="243" customFormat="false" ht="15" hidden="false" customHeight="false" outlineLevel="0" collapsed="false">
      <c r="A243" s="5" t="n">
        <v>12</v>
      </c>
      <c r="B243" s="5" t="s">
        <v>64</v>
      </c>
      <c r="C243" s="6" t="s">
        <v>49</v>
      </c>
      <c r="D243" s="7"/>
      <c r="E243" s="8" t="n">
        <v>800</v>
      </c>
      <c r="F243" s="9"/>
      <c r="G243" s="8" t="n">
        <v>-38321.18</v>
      </c>
      <c r="H243" s="0" t="n">
        <f aca="false">H242+F243-E243</f>
        <v>-38321.1800000076</v>
      </c>
      <c r="I243" s="10" t="n">
        <f aca="false">H243-G243</f>
        <v>-7.60337570682168E-009</v>
      </c>
    </row>
    <row r="244" customFormat="false" ht="15" hidden="false" customHeight="false" outlineLevel="0" collapsed="false">
      <c r="A244" s="11" t="n">
        <v>12</v>
      </c>
      <c r="B244" s="11" t="s">
        <v>64</v>
      </c>
      <c r="C244" s="12" t="s">
        <v>28</v>
      </c>
      <c r="D244" s="13"/>
      <c r="E244" s="14" t="n">
        <v>168</v>
      </c>
      <c r="F244" s="15"/>
      <c r="G244" s="14" t="n">
        <v>-38489.18</v>
      </c>
      <c r="H244" s="0" t="n">
        <f aca="false">H243+F244-E244</f>
        <v>-38489.1800000076</v>
      </c>
      <c r="I244" s="10" t="n">
        <f aca="false">H244-G244</f>
        <v>-7.60337570682168E-009</v>
      </c>
    </row>
    <row r="245" customFormat="false" ht="15" hidden="false" customHeight="false" outlineLevel="0" collapsed="false">
      <c r="A245" s="5" t="n">
        <v>12</v>
      </c>
      <c r="B245" s="5" t="s">
        <v>64</v>
      </c>
      <c r="C245" s="6" t="s">
        <v>28</v>
      </c>
      <c r="D245" s="7"/>
      <c r="E245" s="8" t="n">
        <v>7539</v>
      </c>
      <c r="F245" s="9"/>
      <c r="G245" s="8" t="n">
        <v>-46028.18</v>
      </c>
      <c r="H245" s="0" t="n">
        <f aca="false">H244+F245-E245</f>
        <v>-46028.1800000076</v>
      </c>
      <c r="I245" s="10" t="n">
        <f aca="false">H245-G245</f>
        <v>-7.60337570682168E-009</v>
      </c>
    </row>
    <row r="246" customFormat="false" ht="15" hidden="false" customHeight="false" outlineLevel="0" collapsed="false">
      <c r="A246" s="11" t="n">
        <v>12</v>
      </c>
      <c r="B246" s="11" t="s">
        <v>64</v>
      </c>
      <c r="C246" s="12" t="s">
        <v>29</v>
      </c>
      <c r="D246" s="13"/>
      <c r="E246" s="14" t="n">
        <v>35900</v>
      </c>
      <c r="F246" s="15"/>
      <c r="G246" s="14" t="n">
        <v>-81928.18</v>
      </c>
      <c r="H246" s="0" t="n">
        <f aca="false">H245+F246-E246</f>
        <v>-81928.1800000076</v>
      </c>
      <c r="I246" s="10" t="n">
        <f aca="false">H246-G246</f>
        <v>-7.61065166443586E-009</v>
      </c>
    </row>
    <row r="247" customFormat="false" ht="15" hidden="false" customHeight="false" outlineLevel="0" collapsed="false">
      <c r="A247" s="5" t="n">
        <v>12</v>
      </c>
      <c r="B247" s="5" t="s">
        <v>64</v>
      </c>
      <c r="C247" s="6" t="s">
        <v>13</v>
      </c>
      <c r="D247" s="7"/>
      <c r="E247" s="8" t="n">
        <v>4.8</v>
      </c>
      <c r="F247" s="9"/>
      <c r="G247" s="8" t="n">
        <v>-81932.98</v>
      </c>
      <c r="H247" s="0" t="n">
        <f aca="false">H246+F247-E247</f>
        <v>-81932.9800000076</v>
      </c>
      <c r="I247" s="10" t="n">
        <f aca="false">H247-G247</f>
        <v>-7.61065166443586E-009</v>
      </c>
    </row>
    <row r="248" customFormat="false" ht="15" hidden="false" customHeight="false" outlineLevel="0" collapsed="false">
      <c r="A248" s="11" t="n">
        <v>12</v>
      </c>
      <c r="B248" s="11" t="s">
        <v>64</v>
      </c>
      <c r="C248" s="12" t="s">
        <v>13</v>
      </c>
      <c r="D248" s="13"/>
      <c r="E248" s="14" t="n">
        <v>1.01</v>
      </c>
      <c r="F248" s="15"/>
      <c r="G248" s="14" t="n">
        <v>-81933.99</v>
      </c>
      <c r="H248" s="0" t="n">
        <f aca="false">H247+F248-E248</f>
        <v>-81933.9900000076</v>
      </c>
      <c r="I248" s="10" t="n">
        <f aca="false">H248-G248</f>
        <v>-7.5960997492075E-009</v>
      </c>
    </row>
    <row r="249" customFormat="false" ht="15" hidden="false" customHeight="false" outlineLevel="0" collapsed="false">
      <c r="A249" s="5" t="n">
        <v>12</v>
      </c>
      <c r="B249" s="5" t="s">
        <v>64</v>
      </c>
      <c r="C249" s="6" t="s">
        <v>13</v>
      </c>
      <c r="D249" s="7"/>
      <c r="E249" s="8" t="n">
        <v>215.4</v>
      </c>
      <c r="F249" s="9"/>
      <c r="G249" s="8" t="n">
        <v>-82149.39</v>
      </c>
      <c r="H249" s="0" t="n">
        <f aca="false">H248+F249-E249</f>
        <v>-82149.3900000076</v>
      </c>
      <c r="I249" s="10" t="n">
        <f aca="false">H249-G249</f>
        <v>-7.5960997492075E-009</v>
      </c>
    </row>
    <row r="250" customFormat="false" ht="15" hidden="false" customHeight="false" outlineLevel="0" collapsed="false">
      <c r="A250" s="11" t="n">
        <v>12</v>
      </c>
      <c r="B250" s="11" t="s">
        <v>64</v>
      </c>
      <c r="C250" s="12" t="s">
        <v>13</v>
      </c>
      <c r="D250" s="13"/>
      <c r="E250" s="14" t="n">
        <v>45.23</v>
      </c>
      <c r="F250" s="15"/>
      <c r="G250" s="14" t="n">
        <v>-82194.62</v>
      </c>
      <c r="H250" s="0" t="n">
        <f aca="false">H249+F250-E250</f>
        <v>-82194.6200000076</v>
      </c>
      <c r="I250" s="10" t="n">
        <f aca="false">H250-G250</f>
        <v>-7.5960997492075E-009</v>
      </c>
    </row>
    <row r="251" customFormat="false" ht="15" hidden="false" customHeight="false" outlineLevel="0" collapsed="false">
      <c r="A251" s="5" t="n">
        <v>12</v>
      </c>
      <c r="B251" s="5" t="s">
        <v>64</v>
      </c>
      <c r="C251" s="6" t="s">
        <v>13</v>
      </c>
      <c r="D251" s="7"/>
      <c r="E251" s="8" t="n">
        <v>6.46</v>
      </c>
      <c r="F251" s="9"/>
      <c r="G251" s="8" t="n">
        <v>-82201.08</v>
      </c>
      <c r="H251" s="0" t="n">
        <f aca="false">H250+F251-E251</f>
        <v>-82201.0800000076</v>
      </c>
      <c r="I251" s="10" t="n">
        <f aca="false">H251-G251</f>
        <v>-7.5960997492075E-009</v>
      </c>
    </row>
    <row r="252" customFormat="false" ht="15" hidden="false" customHeight="false" outlineLevel="0" collapsed="false">
      <c r="A252" s="11" t="n">
        <v>1</v>
      </c>
      <c r="B252" s="11" t="s">
        <v>65</v>
      </c>
      <c r="C252" s="12" t="s">
        <v>10</v>
      </c>
      <c r="D252" s="13"/>
      <c r="E252" s="14" t="n">
        <v>3308.81</v>
      </c>
      <c r="F252" s="15"/>
      <c r="G252" s="14" t="n">
        <v>-85509.89</v>
      </c>
      <c r="H252" s="0" t="n">
        <f aca="false">H251+F252-E252</f>
        <v>-85509.8900000076</v>
      </c>
      <c r="I252" s="10" t="n">
        <f aca="false">H252-G252</f>
        <v>-7.5960997492075E-009</v>
      </c>
    </row>
    <row r="253" customFormat="false" ht="15" hidden="false" customHeight="false" outlineLevel="0" collapsed="false">
      <c r="A253" s="5" t="n">
        <v>1</v>
      </c>
      <c r="B253" s="5" t="s">
        <v>65</v>
      </c>
      <c r="C253" s="6" t="s">
        <v>11</v>
      </c>
      <c r="D253" s="7"/>
      <c r="E253" s="8" t="n">
        <v>40.1</v>
      </c>
      <c r="F253" s="9"/>
      <c r="G253" s="8" t="n">
        <v>-85549.99</v>
      </c>
      <c r="H253" s="0" t="n">
        <f aca="false">H252+F253-E253</f>
        <v>-85549.9900000076</v>
      </c>
      <c r="I253" s="10" t="n">
        <f aca="false">H253-G253</f>
        <v>-7.5960997492075E-009</v>
      </c>
    </row>
    <row r="254" customFormat="false" ht="15" hidden="false" customHeight="false" outlineLevel="0" collapsed="false">
      <c r="A254" s="11" t="n">
        <v>1</v>
      </c>
      <c r="B254" s="11" t="s">
        <v>65</v>
      </c>
      <c r="C254" s="12" t="s">
        <v>12</v>
      </c>
      <c r="D254" s="13"/>
      <c r="E254" s="14" t="n">
        <v>347.43</v>
      </c>
      <c r="F254" s="15"/>
      <c r="G254" s="14" t="n">
        <v>-85897.42</v>
      </c>
      <c r="H254" s="0" t="n">
        <f aca="false">H253+F254-E254</f>
        <v>-85897.4200000076</v>
      </c>
      <c r="I254" s="10" t="n">
        <f aca="false">H254-G254</f>
        <v>-7.5960997492075E-009</v>
      </c>
    </row>
    <row r="255" customFormat="false" ht="15" hidden="false" customHeight="false" outlineLevel="0" collapsed="false">
      <c r="A255" s="5" t="n">
        <v>1</v>
      </c>
      <c r="B255" s="5" t="s">
        <v>65</v>
      </c>
      <c r="C255" s="6" t="s">
        <v>13</v>
      </c>
      <c r="D255" s="7"/>
      <c r="E255" s="8" t="n">
        <v>19.85</v>
      </c>
      <c r="F255" s="9"/>
      <c r="G255" s="8" t="n">
        <v>-85917.27</v>
      </c>
      <c r="H255" s="0" t="n">
        <f aca="false">H254+F255-E255</f>
        <v>-85917.2700000076</v>
      </c>
      <c r="I255" s="10" t="n">
        <f aca="false">H255-G255</f>
        <v>-7.5960997492075E-009</v>
      </c>
    </row>
    <row r="256" customFormat="false" ht="15" hidden="false" customHeight="false" outlineLevel="0" collapsed="false">
      <c r="A256" s="11" t="n">
        <v>1</v>
      </c>
      <c r="B256" s="11" t="s">
        <v>65</v>
      </c>
      <c r="C256" s="12" t="s">
        <v>13</v>
      </c>
      <c r="D256" s="13"/>
      <c r="E256" s="14" t="n">
        <v>2.08</v>
      </c>
      <c r="F256" s="15"/>
      <c r="G256" s="14" t="n">
        <v>-85919.35</v>
      </c>
      <c r="H256" s="0" t="n">
        <f aca="false">H255+F256-E256</f>
        <v>-85919.3500000076</v>
      </c>
      <c r="I256" s="10" t="n">
        <f aca="false">H256-G256</f>
        <v>-7.5960997492075E-009</v>
      </c>
    </row>
    <row r="257" customFormat="false" ht="15" hidden="false" customHeight="false" outlineLevel="0" collapsed="false">
      <c r="A257" s="5" t="n">
        <v>1</v>
      </c>
      <c r="B257" s="5" t="s">
        <v>65</v>
      </c>
      <c r="C257" s="6" t="s">
        <v>13</v>
      </c>
      <c r="D257" s="7"/>
      <c r="E257" s="8" t="n">
        <v>0.24</v>
      </c>
      <c r="F257" s="9"/>
      <c r="G257" s="8" t="n">
        <v>-85919.59</v>
      </c>
      <c r="H257" s="0" t="n">
        <f aca="false">H256+F257-E257</f>
        <v>-85919.5900000076</v>
      </c>
      <c r="I257" s="10" t="n">
        <f aca="false">H257-G257</f>
        <v>-7.61065166443586E-009</v>
      </c>
    </row>
    <row r="258" customFormat="false" ht="15" hidden="false" customHeight="false" outlineLevel="0" collapsed="false">
      <c r="A258" s="11" t="n">
        <v>1</v>
      </c>
      <c r="B258" s="11" t="s">
        <v>66</v>
      </c>
      <c r="C258" s="12" t="s">
        <v>13</v>
      </c>
      <c r="D258" s="13"/>
      <c r="E258" s="14" t="n">
        <v>198.63</v>
      </c>
      <c r="F258" s="15"/>
      <c r="G258" s="14" t="n">
        <v>-86118.22</v>
      </c>
      <c r="H258" s="0" t="n">
        <f aca="false">H257+F258-E258</f>
        <v>-86118.2200000076</v>
      </c>
      <c r="I258" s="10" t="n">
        <f aca="false">H258-G258</f>
        <v>-7.61065166443586E-009</v>
      </c>
    </row>
    <row r="259" customFormat="false" ht="15" hidden="false" customHeight="false" outlineLevel="0" collapsed="false">
      <c r="A259" s="5" t="n">
        <v>1</v>
      </c>
      <c r="B259" s="5" t="s">
        <v>66</v>
      </c>
      <c r="C259" s="6" t="s">
        <v>13</v>
      </c>
      <c r="D259" s="7"/>
      <c r="E259" s="8" t="n">
        <v>102.11</v>
      </c>
      <c r="F259" s="9"/>
      <c r="G259" s="8" t="n">
        <v>-86220.33</v>
      </c>
      <c r="H259" s="0" t="n">
        <f aca="false">H258+F259-E259</f>
        <v>-86220.3300000076</v>
      </c>
      <c r="I259" s="10" t="n">
        <f aca="false">H259-G259</f>
        <v>-7.61065166443586E-009</v>
      </c>
    </row>
    <row r="260" customFormat="false" ht="15" hidden="false" customHeight="false" outlineLevel="0" collapsed="false">
      <c r="A260" s="11" t="n">
        <v>1</v>
      </c>
      <c r="B260" s="11" t="s">
        <v>66</v>
      </c>
      <c r="C260" s="12" t="s">
        <v>14</v>
      </c>
      <c r="D260" s="13"/>
      <c r="E260" s="14" t="n">
        <v>240</v>
      </c>
      <c r="F260" s="15"/>
      <c r="G260" s="14" t="n">
        <v>-86460.33</v>
      </c>
      <c r="H260" s="0" t="n">
        <f aca="false">H259+F260-E260</f>
        <v>-86460.3300000076</v>
      </c>
      <c r="I260" s="10" t="n">
        <f aca="false">H260-G260</f>
        <v>-7.61065166443586E-009</v>
      </c>
    </row>
    <row r="261" customFormat="false" ht="15" hidden="false" customHeight="false" outlineLevel="0" collapsed="false">
      <c r="A261" s="5" t="n">
        <v>1</v>
      </c>
      <c r="B261" s="5" t="s">
        <v>66</v>
      </c>
      <c r="C261" s="6" t="s">
        <v>14</v>
      </c>
      <c r="D261" s="7"/>
      <c r="E261" s="8" t="n">
        <v>240</v>
      </c>
      <c r="F261" s="9"/>
      <c r="G261" s="8" t="n">
        <v>-86700.33</v>
      </c>
      <c r="H261" s="0" t="n">
        <f aca="false">H260+F261-E261</f>
        <v>-86700.3300000076</v>
      </c>
      <c r="I261" s="10" t="n">
        <f aca="false">H261-G261</f>
        <v>-7.61065166443586E-009</v>
      </c>
    </row>
    <row r="262" customFormat="false" ht="15" hidden="false" customHeight="false" outlineLevel="0" collapsed="false">
      <c r="A262" s="11" t="n">
        <v>1</v>
      </c>
      <c r="B262" s="11" t="s">
        <v>66</v>
      </c>
      <c r="C262" s="12" t="s">
        <v>14</v>
      </c>
      <c r="D262" s="13"/>
      <c r="E262" s="14" t="n">
        <v>240</v>
      </c>
      <c r="F262" s="15"/>
      <c r="G262" s="14" t="n">
        <v>-86940.33</v>
      </c>
      <c r="H262" s="0" t="n">
        <f aca="false">H261+F262-E262</f>
        <v>-86940.3300000076</v>
      </c>
      <c r="I262" s="10" t="n">
        <f aca="false">H262-G262</f>
        <v>-7.61065166443586E-009</v>
      </c>
    </row>
    <row r="263" customFormat="false" ht="15" hidden="false" customHeight="false" outlineLevel="0" collapsed="false">
      <c r="A263" s="5" t="n">
        <v>1</v>
      </c>
      <c r="B263" s="5" t="s">
        <v>66</v>
      </c>
      <c r="C263" s="6" t="s">
        <v>14</v>
      </c>
      <c r="D263" s="7"/>
      <c r="E263" s="8" t="n">
        <v>240</v>
      </c>
      <c r="F263" s="9"/>
      <c r="G263" s="8" t="n">
        <v>-87180.33</v>
      </c>
      <c r="H263" s="0" t="n">
        <f aca="false">H262+F263-E263</f>
        <v>-87180.3300000076</v>
      </c>
      <c r="I263" s="10" t="n">
        <f aca="false">H263-G263</f>
        <v>-7.61065166443586E-009</v>
      </c>
    </row>
    <row r="264" customFormat="false" ht="15" hidden="false" customHeight="false" outlineLevel="0" collapsed="false">
      <c r="A264" s="11" t="n">
        <v>1</v>
      </c>
      <c r="B264" s="11" t="s">
        <v>66</v>
      </c>
      <c r="C264" s="12" t="s">
        <v>14</v>
      </c>
      <c r="D264" s="13"/>
      <c r="E264" s="14" t="n">
        <v>240</v>
      </c>
      <c r="F264" s="15"/>
      <c r="G264" s="14" t="n">
        <v>-87420.33</v>
      </c>
      <c r="H264" s="0" t="n">
        <f aca="false">H263+F264-E264</f>
        <v>-87420.3300000076</v>
      </c>
      <c r="I264" s="10" t="n">
        <f aca="false">H264-G264</f>
        <v>-7.61065166443586E-009</v>
      </c>
    </row>
    <row r="265" customFormat="false" ht="15" hidden="false" customHeight="false" outlineLevel="0" collapsed="false">
      <c r="A265" s="5" t="n">
        <v>1</v>
      </c>
      <c r="B265" s="5" t="s">
        <v>66</v>
      </c>
      <c r="C265" s="6" t="s">
        <v>14</v>
      </c>
      <c r="D265" s="7"/>
      <c r="E265" s="8" t="n">
        <v>240</v>
      </c>
      <c r="F265" s="9"/>
      <c r="G265" s="8" t="n">
        <v>-87660.33</v>
      </c>
      <c r="H265" s="0" t="n">
        <f aca="false">H264+F265-E265</f>
        <v>-87660.3300000076</v>
      </c>
      <c r="I265" s="10" t="n">
        <f aca="false">H265-G265</f>
        <v>-7.61065166443586E-009</v>
      </c>
    </row>
    <row r="266" customFormat="false" ht="15" hidden="false" customHeight="false" outlineLevel="0" collapsed="false">
      <c r="A266" s="11" t="n">
        <v>1</v>
      </c>
      <c r="B266" s="11" t="s">
        <v>66</v>
      </c>
      <c r="C266" s="12" t="s">
        <v>14</v>
      </c>
      <c r="D266" s="13"/>
      <c r="E266" s="14" t="n">
        <v>240</v>
      </c>
      <c r="F266" s="15"/>
      <c r="G266" s="14" t="n">
        <v>-87900.33</v>
      </c>
      <c r="H266" s="0" t="n">
        <f aca="false">H265+F266-E266</f>
        <v>-87900.3300000076</v>
      </c>
      <c r="I266" s="10" t="n">
        <f aca="false">H266-G266</f>
        <v>-7.61065166443586E-009</v>
      </c>
    </row>
    <row r="267" customFormat="false" ht="15" hidden="false" customHeight="false" outlineLevel="0" collapsed="false">
      <c r="A267" s="5" t="n">
        <v>1</v>
      </c>
      <c r="B267" s="5" t="s">
        <v>66</v>
      </c>
      <c r="C267" s="6" t="s">
        <v>14</v>
      </c>
      <c r="D267" s="7"/>
      <c r="E267" s="8" t="n">
        <v>240</v>
      </c>
      <c r="F267" s="9"/>
      <c r="G267" s="8" t="n">
        <v>-88140.33</v>
      </c>
      <c r="H267" s="0" t="n">
        <f aca="false">H266+F267-E267</f>
        <v>-88140.3300000076</v>
      </c>
      <c r="I267" s="10" t="n">
        <f aca="false">H267-G267</f>
        <v>-7.61065166443586E-009</v>
      </c>
    </row>
    <row r="268" customFormat="false" ht="15" hidden="false" customHeight="false" outlineLevel="0" collapsed="false">
      <c r="A268" s="11" t="n">
        <v>1</v>
      </c>
      <c r="B268" s="11" t="s">
        <v>66</v>
      </c>
      <c r="C268" s="12" t="s">
        <v>14</v>
      </c>
      <c r="D268" s="13"/>
      <c r="E268" s="14" t="n">
        <v>240</v>
      </c>
      <c r="F268" s="15"/>
      <c r="G268" s="14" t="n">
        <v>-88380.33</v>
      </c>
      <c r="H268" s="0" t="n">
        <f aca="false">H267+F268-E268</f>
        <v>-88380.3300000076</v>
      </c>
      <c r="I268" s="10" t="n">
        <f aca="false">H268-G268</f>
        <v>-7.61065166443586E-009</v>
      </c>
    </row>
    <row r="269" customFormat="false" ht="15" hidden="false" customHeight="false" outlineLevel="0" collapsed="false">
      <c r="A269" s="5" t="n">
        <v>1</v>
      </c>
      <c r="B269" s="5" t="s">
        <v>66</v>
      </c>
      <c r="C269" s="6" t="s">
        <v>14</v>
      </c>
      <c r="D269" s="7"/>
      <c r="E269" s="8" t="n">
        <v>222</v>
      </c>
      <c r="F269" s="9"/>
      <c r="G269" s="8" t="n">
        <v>-88602.33</v>
      </c>
      <c r="H269" s="0" t="n">
        <f aca="false">H268+F269-E269</f>
        <v>-88602.3300000076</v>
      </c>
      <c r="I269" s="10" t="n">
        <f aca="false">H269-G269</f>
        <v>-7.61065166443586E-009</v>
      </c>
    </row>
    <row r="270" customFormat="false" ht="15" hidden="false" customHeight="false" outlineLevel="0" collapsed="false">
      <c r="A270" s="11" t="n">
        <v>1</v>
      </c>
      <c r="B270" s="11" t="s">
        <v>66</v>
      </c>
      <c r="C270" s="12" t="s">
        <v>20</v>
      </c>
      <c r="D270" s="13"/>
      <c r="E270" s="14" t="n">
        <v>33105.54</v>
      </c>
      <c r="F270" s="15"/>
      <c r="G270" s="14" t="n">
        <v>-121707.87</v>
      </c>
      <c r="H270" s="0" t="n">
        <f aca="false">H269+F270-E270</f>
        <v>-121707.870000008</v>
      </c>
      <c r="I270" s="10" t="n">
        <f aca="false">H270-G270</f>
        <v>-7.62520357966423E-009</v>
      </c>
    </row>
    <row r="271" customFormat="false" ht="15" hidden="false" customHeight="false" outlineLevel="0" collapsed="false">
      <c r="A271" s="5" t="n">
        <v>1</v>
      </c>
      <c r="B271" s="5" t="s">
        <v>66</v>
      </c>
      <c r="C271" s="6" t="s">
        <v>20</v>
      </c>
      <c r="D271" s="7"/>
      <c r="E271" s="8" t="n">
        <v>17018.97</v>
      </c>
      <c r="F271" s="9"/>
      <c r="G271" s="8" t="n">
        <v>-138726.84</v>
      </c>
      <c r="H271" s="0" t="n">
        <f aca="false">H270+F271-E271</f>
        <v>-138726.840000008</v>
      </c>
      <c r="I271" s="10" t="n">
        <f aca="false">H271-G271</f>
        <v>-7.62520357966423E-009</v>
      </c>
    </row>
    <row r="272" customFormat="false" ht="15" hidden="false" customHeight="false" outlineLevel="0" collapsed="false">
      <c r="A272" s="11" t="n">
        <v>1</v>
      </c>
      <c r="B272" s="11" t="s">
        <v>66</v>
      </c>
      <c r="C272" s="12" t="s">
        <v>23</v>
      </c>
      <c r="D272" s="13"/>
      <c r="E272" s="14" t="n">
        <v>255000</v>
      </c>
      <c r="F272" s="15"/>
      <c r="G272" s="14" t="n">
        <v>-393726.84</v>
      </c>
      <c r="H272" s="0" t="n">
        <f aca="false">H271+F272-E272</f>
        <v>-393726.840000008</v>
      </c>
      <c r="I272" s="10" t="n">
        <f aca="false">H272-G272</f>
        <v>-7.62520357966423E-009</v>
      </c>
    </row>
    <row r="273" customFormat="false" ht="15" hidden="false" customHeight="false" outlineLevel="0" collapsed="false">
      <c r="A273" s="5" t="n">
        <v>1</v>
      </c>
      <c r="B273" s="5" t="s">
        <v>66</v>
      </c>
      <c r="C273" s="6" t="s">
        <v>35</v>
      </c>
      <c r="D273" s="7"/>
      <c r="E273" s="9"/>
      <c r="F273" s="8" t="n">
        <v>40000</v>
      </c>
      <c r="G273" s="8" t="n">
        <v>-353726.84</v>
      </c>
      <c r="H273" s="0" t="n">
        <f aca="false">H272+F273-E273</f>
        <v>-353726.840000008</v>
      </c>
      <c r="I273" s="10" t="n">
        <f aca="false">H273-G273</f>
        <v>-7.62520357966423E-009</v>
      </c>
    </row>
    <row r="274" customFormat="false" ht="15" hidden="false" customHeight="false" outlineLevel="0" collapsed="false">
      <c r="A274" s="11" t="n">
        <v>1</v>
      </c>
      <c r="B274" s="11" t="s">
        <v>66</v>
      </c>
      <c r="C274" s="12" t="s">
        <v>35</v>
      </c>
      <c r="D274" s="13"/>
      <c r="E274" s="15"/>
      <c r="F274" s="14" t="n">
        <v>40000</v>
      </c>
      <c r="G274" s="14" t="n">
        <v>-313726.84</v>
      </c>
      <c r="H274" s="0" t="n">
        <f aca="false">H273+F274-E274</f>
        <v>-313726.840000008</v>
      </c>
      <c r="I274" s="10" t="n">
        <f aca="false">H274-G274</f>
        <v>-7.62520357966423E-009</v>
      </c>
    </row>
    <row r="275" customFormat="false" ht="15" hidden="false" customHeight="false" outlineLevel="0" collapsed="false">
      <c r="A275" s="5" t="n">
        <v>1</v>
      </c>
      <c r="B275" s="5" t="s">
        <v>66</v>
      </c>
      <c r="C275" s="6" t="s">
        <v>35</v>
      </c>
      <c r="D275" s="7"/>
      <c r="E275" s="9"/>
      <c r="F275" s="8" t="n">
        <v>40000</v>
      </c>
      <c r="G275" s="8" t="n">
        <v>-273726.84</v>
      </c>
      <c r="H275" s="0" t="n">
        <f aca="false">H274+F275-E275</f>
        <v>-273726.840000008</v>
      </c>
      <c r="I275" s="10" t="n">
        <f aca="false">H275-G275</f>
        <v>-7.62520357966423E-009</v>
      </c>
    </row>
    <row r="276" customFormat="false" ht="15" hidden="false" customHeight="false" outlineLevel="0" collapsed="false">
      <c r="A276" s="11" t="n">
        <v>1</v>
      </c>
      <c r="B276" s="11" t="s">
        <v>66</v>
      </c>
      <c r="C276" s="12" t="s">
        <v>35</v>
      </c>
      <c r="D276" s="13"/>
      <c r="E276" s="15"/>
      <c r="F276" s="14" t="n">
        <v>40000</v>
      </c>
      <c r="G276" s="14" t="n">
        <v>-233726.84</v>
      </c>
      <c r="H276" s="0" t="n">
        <f aca="false">H275+F276-E276</f>
        <v>-233726.840000008</v>
      </c>
      <c r="I276" s="10" t="n">
        <f aca="false">H276-G276</f>
        <v>-7.65430741012096E-009</v>
      </c>
    </row>
    <row r="277" customFormat="false" ht="15" hidden="false" customHeight="false" outlineLevel="0" collapsed="false">
      <c r="A277" s="5" t="n">
        <v>1</v>
      </c>
      <c r="B277" s="5" t="s">
        <v>66</v>
      </c>
      <c r="C277" s="6" t="s">
        <v>35</v>
      </c>
      <c r="D277" s="7"/>
      <c r="E277" s="9"/>
      <c r="F277" s="8" t="n">
        <v>40000</v>
      </c>
      <c r="G277" s="8" t="n">
        <v>-193726.84</v>
      </c>
      <c r="H277" s="0" t="n">
        <f aca="false">H276+F277-E277</f>
        <v>-193726.840000008</v>
      </c>
      <c r="I277" s="10" t="n">
        <f aca="false">H277-G277</f>
        <v>-7.65430741012096E-009</v>
      </c>
    </row>
    <row r="278" customFormat="false" ht="15" hidden="false" customHeight="false" outlineLevel="0" collapsed="false">
      <c r="A278" s="11" t="n">
        <v>1</v>
      </c>
      <c r="B278" s="11" t="s">
        <v>66</v>
      </c>
      <c r="C278" s="12" t="s">
        <v>35</v>
      </c>
      <c r="D278" s="13"/>
      <c r="E278" s="15"/>
      <c r="F278" s="14" t="n">
        <v>40000</v>
      </c>
      <c r="G278" s="14" t="n">
        <v>-153726.84</v>
      </c>
      <c r="H278" s="0" t="n">
        <f aca="false">H277+F278-E278</f>
        <v>-153726.840000008</v>
      </c>
      <c r="I278" s="10" t="n">
        <f aca="false">H278-G278</f>
        <v>-7.65430741012096E-009</v>
      </c>
    </row>
    <row r="279" customFormat="false" ht="15" hidden="false" customHeight="false" outlineLevel="0" collapsed="false">
      <c r="A279" s="5" t="n">
        <v>1</v>
      </c>
      <c r="B279" s="5" t="s">
        <v>66</v>
      </c>
      <c r="C279" s="6" t="s">
        <v>35</v>
      </c>
      <c r="D279" s="7"/>
      <c r="E279" s="9"/>
      <c r="F279" s="8" t="n">
        <v>40000</v>
      </c>
      <c r="G279" s="8" t="n">
        <v>-113726.84</v>
      </c>
      <c r="H279" s="0" t="n">
        <f aca="false">H278+F279-E279</f>
        <v>-113726.840000008</v>
      </c>
      <c r="I279" s="10" t="n">
        <f aca="false">H279-G279</f>
        <v>-7.65430741012096E-009</v>
      </c>
    </row>
    <row r="280" customFormat="false" ht="15" hidden="false" customHeight="false" outlineLevel="0" collapsed="false">
      <c r="A280" s="11" t="n">
        <v>1</v>
      </c>
      <c r="B280" s="11" t="s">
        <v>66</v>
      </c>
      <c r="C280" s="12" t="s">
        <v>35</v>
      </c>
      <c r="D280" s="13"/>
      <c r="E280" s="15"/>
      <c r="F280" s="14" t="n">
        <v>40000</v>
      </c>
      <c r="G280" s="14" t="n">
        <v>-73726.84</v>
      </c>
      <c r="H280" s="0" t="n">
        <f aca="false">H279+F280-E280</f>
        <v>-73726.8400000077</v>
      </c>
      <c r="I280" s="10" t="n">
        <f aca="false">H280-G280</f>
        <v>-7.65430741012096E-009</v>
      </c>
    </row>
    <row r="281" customFormat="false" ht="15" hidden="false" customHeight="false" outlineLevel="0" collapsed="false">
      <c r="A281" s="5" t="n">
        <v>1</v>
      </c>
      <c r="B281" s="5" t="s">
        <v>66</v>
      </c>
      <c r="C281" s="6" t="s">
        <v>35</v>
      </c>
      <c r="D281" s="7"/>
      <c r="E281" s="9"/>
      <c r="F281" s="8" t="n">
        <v>40000</v>
      </c>
      <c r="G281" s="8" t="n">
        <v>-33726.84</v>
      </c>
      <c r="H281" s="0" t="n">
        <f aca="false">H280+F281-E281</f>
        <v>-33726.8400000077</v>
      </c>
      <c r="I281" s="10" t="n">
        <f aca="false">H281-G281</f>
        <v>-7.65430741012096E-009</v>
      </c>
    </row>
    <row r="282" customFormat="false" ht="15" hidden="false" customHeight="false" outlineLevel="0" collapsed="false">
      <c r="A282" s="11" t="n">
        <v>1</v>
      </c>
      <c r="B282" s="11" t="s">
        <v>66</v>
      </c>
      <c r="C282" s="12" t="s">
        <v>35</v>
      </c>
      <c r="D282" s="13"/>
      <c r="E282" s="15"/>
      <c r="F282" s="14" t="n">
        <v>37000</v>
      </c>
      <c r="G282" s="14" t="n">
        <v>3273.16</v>
      </c>
      <c r="H282" s="0" t="n">
        <f aca="false">H281+F282-E282</f>
        <v>3273.15999999235</v>
      </c>
      <c r="I282" s="10" t="n">
        <f aca="false">H282-G282</f>
        <v>-7.65066943131387E-009</v>
      </c>
    </row>
    <row r="283" customFormat="false" ht="15" hidden="false" customHeight="false" outlineLevel="0" collapsed="false">
      <c r="A283" s="5" t="n">
        <v>1</v>
      </c>
      <c r="B283" s="5" t="s">
        <v>67</v>
      </c>
      <c r="C283" s="6" t="s">
        <v>27</v>
      </c>
      <c r="D283" s="7"/>
      <c r="E283" s="8" t="n">
        <v>1077</v>
      </c>
      <c r="F283" s="9"/>
      <c r="G283" s="8" t="n">
        <v>2196.16</v>
      </c>
      <c r="H283" s="0" t="n">
        <f aca="false">H282+F283-E283</f>
        <v>2196.15999999235</v>
      </c>
      <c r="I283" s="10" t="n">
        <f aca="false">H283-G283</f>
        <v>-7.65066943131387E-009</v>
      </c>
    </row>
    <row r="284" customFormat="false" ht="15" hidden="false" customHeight="false" outlineLevel="0" collapsed="false">
      <c r="A284" s="11" t="n">
        <v>1</v>
      </c>
      <c r="B284" s="11" t="s">
        <v>67</v>
      </c>
      <c r="C284" s="12" t="s">
        <v>49</v>
      </c>
      <c r="D284" s="13"/>
      <c r="E284" s="14" t="n">
        <v>800</v>
      </c>
      <c r="F284" s="15"/>
      <c r="G284" s="14" t="n">
        <v>1396.16</v>
      </c>
      <c r="H284" s="0" t="n">
        <f aca="false">H283+F284-E284</f>
        <v>1396.15999999235</v>
      </c>
      <c r="I284" s="10" t="n">
        <f aca="false">H284-G284</f>
        <v>-7.65089680498932E-009</v>
      </c>
    </row>
    <row r="285" customFormat="false" ht="15" hidden="false" customHeight="false" outlineLevel="0" collapsed="false">
      <c r="A285" s="5" t="n">
        <v>1</v>
      </c>
      <c r="B285" s="5" t="s">
        <v>67</v>
      </c>
      <c r="C285" s="6" t="s">
        <v>28</v>
      </c>
      <c r="D285" s="7"/>
      <c r="E285" s="8" t="n">
        <v>168</v>
      </c>
      <c r="F285" s="9"/>
      <c r="G285" s="8" t="n">
        <v>1228.16</v>
      </c>
      <c r="H285" s="0" t="n">
        <f aca="false">H284+F285-E285</f>
        <v>1228.15999999235</v>
      </c>
      <c r="I285" s="10" t="n">
        <f aca="false">H285-G285</f>
        <v>-7.65089680498932E-009</v>
      </c>
    </row>
    <row r="286" customFormat="false" ht="15" hidden="false" customHeight="false" outlineLevel="0" collapsed="false">
      <c r="A286" s="11" t="n">
        <v>1</v>
      </c>
      <c r="B286" s="11" t="s">
        <v>67</v>
      </c>
      <c r="C286" s="12" t="s">
        <v>28</v>
      </c>
      <c r="D286" s="13"/>
      <c r="E286" s="14" t="n">
        <v>7539</v>
      </c>
      <c r="F286" s="15"/>
      <c r="G286" s="14" t="n">
        <v>-6310.84</v>
      </c>
      <c r="H286" s="0" t="n">
        <f aca="false">H285+F286-E286</f>
        <v>-6310.84000000765</v>
      </c>
      <c r="I286" s="10" t="n">
        <f aca="false">H286-G286</f>
        <v>-7.65066943131387E-009</v>
      </c>
    </row>
    <row r="287" customFormat="false" ht="15" hidden="false" customHeight="false" outlineLevel="0" collapsed="false">
      <c r="A287" s="5" t="n">
        <v>1</v>
      </c>
      <c r="B287" s="5" t="s">
        <v>67</v>
      </c>
      <c r="C287" s="6" t="s">
        <v>29</v>
      </c>
      <c r="D287" s="7"/>
      <c r="E287" s="8" t="n">
        <v>35900</v>
      </c>
      <c r="F287" s="9"/>
      <c r="G287" s="8" t="n">
        <v>-42210.84</v>
      </c>
      <c r="H287" s="0" t="n">
        <f aca="false">H286+F287-E287</f>
        <v>-42210.8400000077</v>
      </c>
      <c r="I287" s="10" t="n">
        <f aca="false">H287-G287</f>
        <v>-7.65430741012096E-009</v>
      </c>
    </row>
    <row r="288" customFormat="false" ht="15" hidden="false" customHeight="false" outlineLevel="0" collapsed="false">
      <c r="A288" s="11" t="n">
        <v>1</v>
      </c>
      <c r="B288" s="11" t="s">
        <v>67</v>
      </c>
      <c r="C288" s="12" t="s">
        <v>13</v>
      </c>
      <c r="D288" s="13"/>
      <c r="E288" s="14" t="n">
        <v>4.8</v>
      </c>
      <c r="F288" s="15"/>
      <c r="G288" s="14" t="n">
        <v>-42215.64</v>
      </c>
      <c r="H288" s="0" t="n">
        <f aca="false">H287+F288-E288</f>
        <v>-42215.6400000077</v>
      </c>
      <c r="I288" s="10" t="n">
        <f aca="false">H288-G288</f>
        <v>-7.65430741012096E-009</v>
      </c>
    </row>
    <row r="289" customFormat="false" ht="15" hidden="false" customHeight="false" outlineLevel="0" collapsed="false">
      <c r="A289" s="5" t="n">
        <v>1</v>
      </c>
      <c r="B289" s="5" t="s">
        <v>67</v>
      </c>
      <c r="C289" s="6" t="s">
        <v>13</v>
      </c>
      <c r="D289" s="7"/>
      <c r="E289" s="8" t="n">
        <v>1.01</v>
      </c>
      <c r="F289" s="9"/>
      <c r="G289" s="8" t="n">
        <v>-42216.65</v>
      </c>
      <c r="H289" s="0" t="n">
        <f aca="false">H288+F289-E289</f>
        <v>-42216.6500000077</v>
      </c>
      <c r="I289" s="10" t="n">
        <f aca="false">H289-G289</f>
        <v>-7.65430741012096E-009</v>
      </c>
    </row>
    <row r="290" customFormat="false" ht="15" hidden="false" customHeight="false" outlineLevel="0" collapsed="false">
      <c r="A290" s="11" t="n">
        <v>1</v>
      </c>
      <c r="B290" s="11" t="s">
        <v>67</v>
      </c>
      <c r="C290" s="12" t="s">
        <v>13</v>
      </c>
      <c r="D290" s="13"/>
      <c r="E290" s="14" t="n">
        <v>215.4</v>
      </c>
      <c r="F290" s="15"/>
      <c r="G290" s="14" t="n">
        <v>-42432.05</v>
      </c>
      <c r="H290" s="0" t="n">
        <f aca="false">H289+F290-E290</f>
        <v>-42432.0500000077</v>
      </c>
      <c r="I290" s="10" t="n">
        <f aca="false">H290-G290</f>
        <v>-7.65430741012096E-009</v>
      </c>
    </row>
    <row r="291" customFormat="false" ht="15" hidden="false" customHeight="false" outlineLevel="0" collapsed="false">
      <c r="A291" s="5" t="n">
        <v>1</v>
      </c>
      <c r="B291" s="5" t="s">
        <v>67</v>
      </c>
      <c r="C291" s="6" t="s">
        <v>13</v>
      </c>
      <c r="D291" s="7"/>
      <c r="E291" s="8" t="n">
        <v>45.23</v>
      </c>
      <c r="F291" s="9"/>
      <c r="G291" s="8" t="n">
        <v>-42477.28</v>
      </c>
      <c r="H291" s="0" t="n">
        <f aca="false">H290+F291-E291</f>
        <v>-42477.2800000077</v>
      </c>
      <c r="I291" s="10" t="n">
        <f aca="false">H291-G291</f>
        <v>-7.66158336773515E-009</v>
      </c>
    </row>
    <row r="292" customFormat="false" ht="15" hidden="false" customHeight="false" outlineLevel="0" collapsed="false">
      <c r="A292" s="11" t="n">
        <v>1</v>
      </c>
      <c r="B292" s="11" t="s">
        <v>67</v>
      </c>
      <c r="C292" s="12" t="s">
        <v>13</v>
      </c>
      <c r="D292" s="13"/>
      <c r="E292" s="14" t="n">
        <v>6.46</v>
      </c>
      <c r="F292" s="15"/>
      <c r="G292" s="14" t="n">
        <v>-42483.74</v>
      </c>
      <c r="H292" s="0" t="n">
        <f aca="false">H291+F292-E292</f>
        <v>-42483.7400000077</v>
      </c>
      <c r="I292" s="10" t="n">
        <f aca="false">H292-G292</f>
        <v>-7.66158336773515E-009</v>
      </c>
    </row>
    <row r="293" customFormat="false" ht="15" hidden="false" customHeight="false" outlineLevel="0" collapsed="false">
      <c r="A293" s="5" t="n">
        <v>2</v>
      </c>
      <c r="B293" s="5" t="s">
        <v>68</v>
      </c>
      <c r="C293" s="6" t="s">
        <v>10</v>
      </c>
      <c r="D293" s="7"/>
      <c r="E293" s="8" t="n">
        <v>1844.16</v>
      </c>
      <c r="F293" s="9"/>
      <c r="G293" s="8" t="n">
        <v>-44327.9</v>
      </c>
      <c r="H293" s="0" t="n">
        <f aca="false">H292+F293-E293</f>
        <v>-44327.9000000077</v>
      </c>
      <c r="I293" s="10" t="n">
        <f aca="false">H293-G293</f>
        <v>-7.66158336773515E-009</v>
      </c>
    </row>
    <row r="294" customFormat="false" ht="15" hidden="false" customHeight="false" outlineLevel="0" collapsed="false">
      <c r="A294" s="11" t="n">
        <v>2</v>
      </c>
      <c r="B294" s="11" t="s">
        <v>68</v>
      </c>
      <c r="C294" s="12" t="s">
        <v>11</v>
      </c>
      <c r="D294" s="13"/>
      <c r="E294" s="14" t="n">
        <v>22.35</v>
      </c>
      <c r="F294" s="15"/>
      <c r="G294" s="14" t="n">
        <v>-44350.25</v>
      </c>
      <c r="H294" s="0" t="n">
        <f aca="false">H293+F294-E294</f>
        <v>-44350.2500000077</v>
      </c>
      <c r="I294" s="10" t="n">
        <f aca="false">H294-G294</f>
        <v>-7.66158336773515E-009</v>
      </c>
    </row>
    <row r="295" customFormat="false" ht="15" hidden="false" customHeight="false" outlineLevel="0" collapsed="false">
      <c r="A295" s="5" t="n">
        <v>2</v>
      </c>
      <c r="B295" s="5" t="s">
        <v>68</v>
      </c>
      <c r="C295" s="6" t="s">
        <v>12</v>
      </c>
      <c r="D295" s="7"/>
      <c r="E295" s="8" t="n">
        <v>193.64</v>
      </c>
      <c r="F295" s="9"/>
      <c r="G295" s="8" t="n">
        <v>-44543.89</v>
      </c>
      <c r="H295" s="0" t="n">
        <f aca="false">H294+F295-E295</f>
        <v>-44543.8900000077</v>
      </c>
      <c r="I295" s="10" t="n">
        <f aca="false">H295-G295</f>
        <v>-7.66158336773515E-009</v>
      </c>
    </row>
    <row r="296" customFormat="false" ht="15" hidden="false" customHeight="false" outlineLevel="0" collapsed="false">
      <c r="A296" s="11" t="n">
        <v>2</v>
      </c>
      <c r="B296" s="11" t="s">
        <v>68</v>
      </c>
      <c r="C296" s="12" t="s">
        <v>13</v>
      </c>
      <c r="D296" s="13"/>
      <c r="E296" s="14" t="n">
        <v>11.06</v>
      </c>
      <c r="F296" s="15"/>
      <c r="G296" s="14" t="n">
        <v>-44554.95</v>
      </c>
      <c r="H296" s="0" t="n">
        <f aca="false">H295+F296-E296</f>
        <v>-44554.9500000077</v>
      </c>
      <c r="I296" s="10" t="n">
        <f aca="false">H296-G296</f>
        <v>-7.66158336773515E-009</v>
      </c>
    </row>
    <row r="297" customFormat="false" ht="15" hidden="false" customHeight="false" outlineLevel="0" collapsed="false">
      <c r="A297" s="5" t="n">
        <v>2</v>
      </c>
      <c r="B297" s="5" t="s">
        <v>68</v>
      </c>
      <c r="C297" s="6" t="s">
        <v>13</v>
      </c>
      <c r="D297" s="7"/>
      <c r="E297" s="8" t="n">
        <v>1.16</v>
      </c>
      <c r="F297" s="9"/>
      <c r="G297" s="8" t="n">
        <v>-44556.11</v>
      </c>
      <c r="H297" s="0" t="n">
        <f aca="false">H296+F297-E297</f>
        <v>-44556.1100000077</v>
      </c>
      <c r="I297" s="10" t="n">
        <f aca="false">H297-G297</f>
        <v>-7.66158336773515E-009</v>
      </c>
    </row>
    <row r="298" customFormat="false" ht="15" hidden="false" customHeight="false" outlineLevel="0" collapsed="false">
      <c r="A298" s="11" t="n">
        <v>2</v>
      </c>
      <c r="B298" s="11" t="s">
        <v>68</v>
      </c>
      <c r="C298" s="12" t="s">
        <v>13</v>
      </c>
      <c r="D298" s="13"/>
      <c r="E298" s="14" t="n">
        <v>0.13</v>
      </c>
      <c r="F298" s="15"/>
      <c r="G298" s="14" t="n">
        <v>-44556.24</v>
      </c>
      <c r="H298" s="0" t="n">
        <f aca="false">H297+F298-E298</f>
        <v>-44556.2400000077</v>
      </c>
      <c r="I298" s="10" t="n">
        <f aca="false">H298-G298</f>
        <v>-7.66158336773515E-009</v>
      </c>
    </row>
    <row r="299" customFormat="false" ht="15" hidden="false" customHeight="false" outlineLevel="0" collapsed="false">
      <c r="A299" s="5" t="n">
        <v>2</v>
      </c>
      <c r="B299" s="5" t="s">
        <v>69</v>
      </c>
      <c r="C299" s="6" t="s">
        <v>27</v>
      </c>
      <c r="D299" s="7"/>
      <c r="E299" s="8" t="n">
        <v>1077</v>
      </c>
      <c r="F299" s="9"/>
      <c r="G299" s="8" t="n">
        <v>-45633.24</v>
      </c>
      <c r="H299" s="0" t="n">
        <f aca="false">H298+F299-E299</f>
        <v>-45633.2400000077</v>
      </c>
      <c r="I299" s="10" t="n">
        <f aca="false">H299-G299</f>
        <v>-7.66158336773515E-009</v>
      </c>
    </row>
    <row r="300" customFormat="false" ht="15" hidden="false" customHeight="false" outlineLevel="0" collapsed="false">
      <c r="A300" s="11" t="n">
        <v>2</v>
      </c>
      <c r="B300" s="11" t="s">
        <v>69</v>
      </c>
      <c r="C300" s="12" t="s">
        <v>49</v>
      </c>
      <c r="D300" s="13"/>
      <c r="E300" s="14" t="n">
        <v>800</v>
      </c>
      <c r="F300" s="15"/>
      <c r="G300" s="14" t="n">
        <v>-46433.24</v>
      </c>
      <c r="H300" s="0" t="n">
        <f aca="false">H299+F300-E300</f>
        <v>-46433.2400000077</v>
      </c>
      <c r="I300" s="10" t="n">
        <f aca="false">H300-G300</f>
        <v>-7.66158336773515E-009</v>
      </c>
    </row>
    <row r="301" customFormat="false" ht="15" hidden="false" customHeight="false" outlineLevel="0" collapsed="false">
      <c r="A301" s="5" t="n">
        <v>2</v>
      </c>
      <c r="B301" s="5" t="s">
        <v>69</v>
      </c>
      <c r="C301" s="6" t="s">
        <v>28</v>
      </c>
      <c r="D301" s="7"/>
      <c r="E301" s="8" t="n">
        <v>168</v>
      </c>
      <c r="F301" s="9"/>
      <c r="G301" s="8" t="n">
        <v>-46601.24</v>
      </c>
      <c r="H301" s="0" t="n">
        <f aca="false">H300+F301-E301</f>
        <v>-46601.2400000077</v>
      </c>
      <c r="I301" s="10" t="n">
        <f aca="false">H301-G301</f>
        <v>-7.66158336773515E-009</v>
      </c>
    </row>
    <row r="302" customFormat="false" ht="15" hidden="false" customHeight="false" outlineLevel="0" collapsed="false">
      <c r="A302" s="11" t="n">
        <v>2</v>
      </c>
      <c r="B302" s="11" t="s">
        <v>69</v>
      </c>
      <c r="C302" s="12" t="s">
        <v>28</v>
      </c>
      <c r="D302" s="13"/>
      <c r="E302" s="14" t="n">
        <v>7539</v>
      </c>
      <c r="F302" s="15"/>
      <c r="G302" s="14" t="n">
        <v>-54140.24</v>
      </c>
      <c r="H302" s="0" t="n">
        <f aca="false">H301+F302-E302</f>
        <v>-54140.2400000077</v>
      </c>
      <c r="I302" s="10" t="n">
        <f aca="false">H302-G302</f>
        <v>-7.66158336773515E-009</v>
      </c>
    </row>
    <row r="303" customFormat="false" ht="15" hidden="false" customHeight="false" outlineLevel="0" collapsed="false">
      <c r="A303" s="5" t="n">
        <v>2</v>
      </c>
      <c r="B303" s="5" t="s">
        <v>69</v>
      </c>
      <c r="C303" s="6" t="s">
        <v>28</v>
      </c>
      <c r="D303" s="7"/>
      <c r="E303" s="8" t="n">
        <v>371.7</v>
      </c>
      <c r="F303" s="9"/>
      <c r="G303" s="8" t="n">
        <v>-54511.94</v>
      </c>
      <c r="H303" s="0" t="n">
        <f aca="false">H302+F303-E303</f>
        <v>-54511.9400000077</v>
      </c>
      <c r="I303" s="10" t="n">
        <f aca="false">H303-G303</f>
        <v>-7.65430741012096E-009</v>
      </c>
    </row>
    <row r="304" customFormat="false" ht="15" hidden="false" customHeight="false" outlineLevel="0" collapsed="false">
      <c r="A304" s="11" t="n">
        <v>2</v>
      </c>
      <c r="B304" s="11" t="s">
        <v>69</v>
      </c>
      <c r="C304" s="12" t="s">
        <v>29</v>
      </c>
      <c r="D304" s="13"/>
      <c r="E304" s="14" t="n">
        <v>35900</v>
      </c>
      <c r="F304" s="15"/>
      <c r="G304" s="14" t="n">
        <v>-90411.94</v>
      </c>
      <c r="H304" s="0" t="n">
        <f aca="false">H303+F304-E304</f>
        <v>-90411.9400000077</v>
      </c>
      <c r="I304" s="10" t="n">
        <f aca="false">H304-G304</f>
        <v>-7.65430741012096E-009</v>
      </c>
    </row>
    <row r="305" customFormat="false" ht="15" hidden="false" customHeight="false" outlineLevel="0" collapsed="false">
      <c r="A305" s="5" t="n">
        <v>2</v>
      </c>
      <c r="B305" s="5" t="s">
        <v>69</v>
      </c>
      <c r="C305" s="6" t="s">
        <v>43</v>
      </c>
      <c r="D305" s="7"/>
      <c r="E305" s="8" t="n">
        <v>1770</v>
      </c>
      <c r="F305" s="9"/>
      <c r="G305" s="8" t="n">
        <v>-92181.94</v>
      </c>
      <c r="H305" s="0" t="n">
        <f aca="false">H304+F305-E305</f>
        <v>-92181.9400000077</v>
      </c>
      <c r="I305" s="10" t="n">
        <f aca="false">H305-G305</f>
        <v>-7.65430741012096E-009</v>
      </c>
    </row>
    <row r="306" customFormat="false" ht="15" hidden="false" customHeight="false" outlineLevel="0" collapsed="false">
      <c r="A306" s="11" t="n">
        <v>2</v>
      </c>
      <c r="B306" s="11" t="s">
        <v>69</v>
      </c>
      <c r="C306" s="12" t="s">
        <v>13</v>
      </c>
      <c r="D306" s="13"/>
      <c r="E306" s="14" t="n">
        <v>4.8</v>
      </c>
      <c r="F306" s="15"/>
      <c r="G306" s="14" t="n">
        <v>-92186.74</v>
      </c>
      <c r="H306" s="0" t="n">
        <f aca="false">H305+F306-E306</f>
        <v>-92186.7400000077</v>
      </c>
      <c r="I306" s="10" t="n">
        <f aca="false">H306-G306</f>
        <v>-7.65430741012096E-009</v>
      </c>
    </row>
    <row r="307" customFormat="false" ht="15" hidden="false" customHeight="false" outlineLevel="0" collapsed="false">
      <c r="A307" s="5" t="n">
        <v>2</v>
      </c>
      <c r="B307" s="5" t="s">
        <v>69</v>
      </c>
      <c r="C307" s="6" t="s">
        <v>13</v>
      </c>
      <c r="D307" s="7"/>
      <c r="E307" s="8" t="n">
        <v>1.01</v>
      </c>
      <c r="F307" s="9"/>
      <c r="G307" s="8" t="n">
        <v>-92187.75</v>
      </c>
      <c r="H307" s="0" t="n">
        <f aca="false">H306+F307-E307</f>
        <v>-92187.7500000077</v>
      </c>
      <c r="I307" s="10" t="n">
        <f aca="false">H307-G307</f>
        <v>-7.65430741012096E-009</v>
      </c>
    </row>
    <row r="308" customFormat="false" ht="15" hidden="false" customHeight="false" outlineLevel="0" collapsed="false">
      <c r="A308" s="11" t="n">
        <v>2</v>
      </c>
      <c r="B308" s="11" t="s">
        <v>69</v>
      </c>
      <c r="C308" s="12" t="s">
        <v>13</v>
      </c>
      <c r="D308" s="13"/>
      <c r="E308" s="14" t="n">
        <v>215.4</v>
      </c>
      <c r="F308" s="15"/>
      <c r="G308" s="14" t="n">
        <v>-92403.15</v>
      </c>
      <c r="H308" s="0" t="n">
        <f aca="false">H307+F308-E308</f>
        <v>-92403.1500000077</v>
      </c>
      <c r="I308" s="10" t="n">
        <f aca="false">H308-G308</f>
        <v>-7.65430741012096E-009</v>
      </c>
    </row>
    <row r="309" customFormat="false" ht="15" hidden="false" customHeight="false" outlineLevel="0" collapsed="false">
      <c r="A309" s="5" t="n">
        <v>2</v>
      </c>
      <c r="B309" s="5" t="s">
        <v>69</v>
      </c>
      <c r="C309" s="6" t="s">
        <v>13</v>
      </c>
      <c r="D309" s="7"/>
      <c r="E309" s="8" t="n">
        <v>45.23</v>
      </c>
      <c r="F309" s="9"/>
      <c r="G309" s="8" t="n">
        <v>-92448.38</v>
      </c>
      <c r="H309" s="0" t="n">
        <f aca="false">H308+F309-E309</f>
        <v>-92448.3800000076</v>
      </c>
      <c r="I309" s="10" t="n">
        <f aca="false">H309-G309</f>
        <v>-7.6397554948926E-009</v>
      </c>
    </row>
    <row r="310" customFormat="false" ht="15" hidden="false" customHeight="false" outlineLevel="0" collapsed="false">
      <c r="A310" s="11" t="n">
        <v>2</v>
      </c>
      <c r="B310" s="11" t="s">
        <v>69</v>
      </c>
      <c r="C310" s="12" t="s">
        <v>13</v>
      </c>
      <c r="D310" s="13"/>
      <c r="E310" s="14" t="n">
        <v>6.46</v>
      </c>
      <c r="F310" s="15"/>
      <c r="G310" s="14" t="n">
        <v>-92454.84</v>
      </c>
      <c r="H310" s="0" t="n">
        <f aca="false">H309+F310-E310</f>
        <v>-92454.8400000077</v>
      </c>
      <c r="I310" s="10" t="n">
        <f aca="false">H310-G310</f>
        <v>-7.65430741012096E-009</v>
      </c>
    </row>
    <row r="311" customFormat="false" ht="15" hidden="false" customHeight="false" outlineLevel="0" collapsed="false">
      <c r="A311" s="5" t="n">
        <v>2</v>
      </c>
      <c r="B311" s="5" t="s">
        <v>69</v>
      </c>
      <c r="C311" s="6" t="s">
        <v>13</v>
      </c>
      <c r="D311" s="7"/>
      <c r="E311" s="8" t="n">
        <v>10.62</v>
      </c>
      <c r="F311" s="9"/>
      <c r="G311" s="8" t="n">
        <v>-92465.46</v>
      </c>
      <c r="H311" s="0" t="n">
        <f aca="false">H310+F311-E311</f>
        <v>-92465.4600000077</v>
      </c>
      <c r="I311" s="10" t="n">
        <f aca="false">H311-G311</f>
        <v>-7.6397554948926E-009</v>
      </c>
    </row>
    <row r="312" customFormat="false" ht="15" hidden="false" customHeight="false" outlineLevel="0" collapsed="false">
      <c r="A312" s="11" t="n">
        <v>2</v>
      </c>
      <c r="B312" s="11" t="s">
        <v>69</v>
      </c>
      <c r="C312" s="12" t="s">
        <v>13</v>
      </c>
      <c r="D312" s="13"/>
      <c r="E312" s="14" t="n">
        <v>2.23</v>
      </c>
      <c r="F312" s="15"/>
      <c r="G312" s="14" t="n">
        <v>-92467.69</v>
      </c>
      <c r="H312" s="0" t="n">
        <f aca="false">H311+F312-E312</f>
        <v>-92467.6900000076</v>
      </c>
      <c r="I312" s="10" t="n">
        <f aca="false">H312-G312</f>
        <v>-7.6397554948926E-009</v>
      </c>
    </row>
    <row r="313" customFormat="false" ht="15" hidden="false" customHeight="false" outlineLevel="0" collapsed="false">
      <c r="A313" s="5" t="n">
        <v>2</v>
      </c>
      <c r="B313" s="5" t="s">
        <v>69</v>
      </c>
      <c r="C313" s="6" t="s">
        <v>14</v>
      </c>
      <c r="D313" s="7"/>
      <c r="E313" s="8" t="n">
        <v>1800</v>
      </c>
      <c r="F313" s="9"/>
      <c r="G313" s="8" t="n">
        <v>-94267.69</v>
      </c>
      <c r="H313" s="0" t="n">
        <f aca="false">H312+F313-E313</f>
        <v>-94267.6900000076</v>
      </c>
      <c r="I313" s="10" t="n">
        <f aca="false">H313-G313</f>
        <v>-7.6397554948926E-009</v>
      </c>
    </row>
    <row r="314" customFormat="false" ht="15" hidden="false" customHeight="false" outlineLevel="0" collapsed="false">
      <c r="A314" s="11" t="n">
        <v>2</v>
      </c>
      <c r="B314" s="11" t="s">
        <v>69</v>
      </c>
      <c r="C314" s="12" t="s">
        <v>44</v>
      </c>
      <c r="D314" s="13"/>
      <c r="E314" s="15"/>
      <c r="F314" s="14" t="n">
        <v>300000</v>
      </c>
      <c r="G314" s="14" t="n">
        <v>205732.31</v>
      </c>
      <c r="H314" s="0" t="n">
        <f aca="false">H313+F314-E314</f>
        <v>205732.309999992</v>
      </c>
      <c r="I314" s="10" t="n">
        <f aca="false">H314-G314</f>
        <v>-7.62520357966423E-009</v>
      </c>
    </row>
    <row r="315" customFormat="false" ht="15" hidden="false" customHeight="false" outlineLevel="0" collapsed="false">
      <c r="A315" s="5" t="n">
        <v>3</v>
      </c>
      <c r="B315" s="5" t="s">
        <v>70</v>
      </c>
      <c r="C315" s="6" t="s">
        <v>10</v>
      </c>
      <c r="D315" s="7"/>
      <c r="E315" s="8" t="n">
        <v>3251.71</v>
      </c>
      <c r="F315" s="9"/>
      <c r="G315" s="8" t="n">
        <v>202480.6</v>
      </c>
      <c r="H315" s="0" t="n">
        <f aca="false">H314+F315-E315</f>
        <v>202480.599999992</v>
      </c>
      <c r="I315" s="10" t="n">
        <f aca="false">H315-G315</f>
        <v>-7.62520357966423E-009</v>
      </c>
    </row>
    <row r="316" customFormat="false" ht="15" hidden="false" customHeight="false" outlineLevel="0" collapsed="false">
      <c r="A316" s="11" t="n">
        <v>3</v>
      </c>
      <c r="B316" s="11" t="s">
        <v>70</v>
      </c>
      <c r="C316" s="12" t="s">
        <v>11</v>
      </c>
      <c r="D316" s="13"/>
      <c r="E316" s="14" t="n">
        <v>39.41</v>
      </c>
      <c r="F316" s="15"/>
      <c r="G316" s="14" t="n">
        <v>202441.19</v>
      </c>
      <c r="H316" s="0" t="n">
        <f aca="false">H315+F316-E316</f>
        <v>202441.189999992</v>
      </c>
      <c r="I316" s="10" t="n">
        <f aca="false">H316-G316</f>
        <v>-7.62520357966423E-009</v>
      </c>
    </row>
    <row r="317" customFormat="false" ht="15" hidden="false" customHeight="false" outlineLevel="0" collapsed="false">
      <c r="A317" s="5" t="n">
        <v>3</v>
      </c>
      <c r="B317" s="5" t="s">
        <v>70</v>
      </c>
      <c r="C317" s="6" t="s">
        <v>12</v>
      </c>
      <c r="D317" s="7"/>
      <c r="E317" s="8" t="n">
        <v>341.43</v>
      </c>
      <c r="F317" s="9"/>
      <c r="G317" s="8" t="n">
        <v>202099.76</v>
      </c>
      <c r="H317" s="0" t="n">
        <f aca="false">H316+F317-E317</f>
        <v>202099.759999992</v>
      </c>
      <c r="I317" s="10" t="n">
        <f aca="false">H317-G317</f>
        <v>-7.62520357966423E-009</v>
      </c>
    </row>
    <row r="318" customFormat="false" ht="15" hidden="false" customHeight="false" outlineLevel="0" collapsed="false">
      <c r="A318" s="11" t="n">
        <v>3</v>
      </c>
      <c r="B318" s="11" t="s">
        <v>70</v>
      </c>
      <c r="C318" s="12" t="s">
        <v>13</v>
      </c>
      <c r="D318" s="13"/>
      <c r="E318" s="14" t="n">
        <v>19.51</v>
      </c>
      <c r="F318" s="15"/>
      <c r="G318" s="14" t="n">
        <v>202080.25</v>
      </c>
      <c r="H318" s="0" t="n">
        <f aca="false">H317+F318-E318</f>
        <v>202080.249999992</v>
      </c>
      <c r="I318" s="10" t="n">
        <f aca="false">H318-G318</f>
        <v>-7.62520357966423E-009</v>
      </c>
    </row>
    <row r="319" customFormat="false" ht="15" hidden="false" customHeight="false" outlineLevel="0" collapsed="false">
      <c r="A319" s="5" t="n">
        <v>3</v>
      </c>
      <c r="B319" s="5" t="s">
        <v>70</v>
      </c>
      <c r="C319" s="6" t="s">
        <v>13</v>
      </c>
      <c r="D319" s="7"/>
      <c r="E319" s="8" t="n">
        <v>2.05</v>
      </c>
      <c r="F319" s="9"/>
      <c r="G319" s="8" t="n">
        <v>202078.2</v>
      </c>
      <c r="H319" s="0" t="n">
        <f aca="false">H318+F319-E319</f>
        <v>202078.199999992</v>
      </c>
      <c r="I319" s="10" t="n">
        <f aca="false">H319-G319</f>
        <v>-7.62520357966423E-009</v>
      </c>
    </row>
    <row r="320" customFormat="false" ht="15" hidden="false" customHeight="false" outlineLevel="0" collapsed="false">
      <c r="A320" s="11" t="n">
        <v>3</v>
      </c>
      <c r="B320" s="11" t="s">
        <v>70</v>
      </c>
      <c r="C320" s="12" t="s">
        <v>13</v>
      </c>
      <c r="D320" s="13"/>
      <c r="E320" s="14" t="n">
        <v>0.24</v>
      </c>
      <c r="F320" s="15"/>
      <c r="G320" s="14" t="n">
        <v>202077.96</v>
      </c>
      <c r="H320" s="0" t="n">
        <f aca="false">H319+F320-E320</f>
        <v>202077.959999992</v>
      </c>
      <c r="I320" s="10" t="n">
        <f aca="false">H320-G320</f>
        <v>-7.5960997492075E-009</v>
      </c>
    </row>
    <row r="321" customFormat="false" ht="15" hidden="false" customHeight="false" outlineLevel="0" collapsed="false">
      <c r="A321" s="5" t="n">
        <v>3</v>
      </c>
      <c r="B321" s="5" t="s">
        <v>71</v>
      </c>
      <c r="C321" s="6" t="s">
        <v>27</v>
      </c>
      <c r="D321" s="7"/>
      <c r="E321" s="8" t="n">
        <v>118.17</v>
      </c>
      <c r="F321" s="9"/>
      <c r="G321" s="8" t="n">
        <v>201959.79</v>
      </c>
      <c r="H321" s="0" t="n">
        <f aca="false">H320+F321-E321</f>
        <v>201959.789999992</v>
      </c>
      <c r="I321" s="10" t="n">
        <f aca="false">H321-G321</f>
        <v>-7.62520357966423E-009</v>
      </c>
    </row>
    <row r="322" customFormat="false" ht="15" hidden="false" customHeight="false" outlineLevel="0" collapsed="false">
      <c r="A322" s="11" t="n">
        <v>3</v>
      </c>
      <c r="B322" s="11" t="s">
        <v>71</v>
      </c>
      <c r="C322" s="12" t="s">
        <v>27</v>
      </c>
      <c r="D322" s="13"/>
      <c r="E322" s="14" t="n">
        <v>165.76</v>
      </c>
      <c r="F322" s="15"/>
      <c r="G322" s="14" t="n">
        <v>201794.03</v>
      </c>
      <c r="H322" s="0" t="n">
        <f aca="false">H321+F322-E322</f>
        <v>201794.029999992</v>
      </c>
      <c r="I322" s="10" t="n">
        <f aca="false">H322-G322</f>
        <v>-7.62520357966423E-009</v>
      </c>
    </row>
    <row r="323" customFormat="false" ht="15" hidden="false" customHeight="false" outlineLevel="0" collapsed="false">
      <c r="A323" s="5" t="n">
        <v>3</v>
      </c>
      <c r="B323" s="5" t="s">
        <v>71</v>
      </c>
      <c r="C323" s="6" t="s">
        <v>27</v>
      </c>
      <c r="D323" s="7"/>
      <c r="E323" s="8" t="n">
        <v>97</v>
      </c>
      <c r="F323" s="9"/>
      <c r="G323" s="8" t="n">
        <v>201697.03</v>
      </c>
      <c r="H323" s="0" t="n">
        <f aca="false">H322+F323-E323</f>
        <v>201697.029999992</v>
      </c>
      <c r="I323" s="10" t="n">
        <f aca="false">H323-G323</f>
        <v>-7.62520357966423E-009</v>
      </c>
    </row>
    <row r="324" customFormat="false" ht="15" hidden="false" customHeight="false" outlineLevel="0" collapsed="false">
      <c r="A324" s="11" t="n">
        <v>3</v>
      </c>
      <c r="B324" s="11" t="s">
        <v>71</v>
      </c>
      <c r="C324" s="12" t="s">
        <v>28</v>
      </c>
      <c r="D324" s="13"/>
      <c r="E324" s="14" t="n">
        <v>827.21</v>
      </c>
      <c r="F324" s="15"/>
      <c r="G324" s="14" t="n">
        <v>200869.82</v>
      </c>
      <c r="H324" s="0" t="n">
        <f aca="false">H323+F324-E324</f>
        <v>200869.819999992</v>
      </c>
      <c r="I324" s="10" t="n">
        <f aca="false">H324-G324</f>
        <v>-7.62520357966423E-009</v>
      </c>
    </row>
    <row r="325" customFormat="false" ht="15" hidden="false" customHeight="false" outlineLevel="0" collapsed="false">
      <c r="A325" s="5" t="n">
        <v>3</v>
      </c>
      <c r="B325" s="5" t="s">
        <v>71</v>
      </c>
      <c r="C325" s="6" t="s">
        <v>28</v>
      </c>
      <c r="D325" s="7"/>
      <c r="E325" s="8" t="n">
        <v>1160.32</v>
      </c>
      <c r="F325" s="9"/>
      <c r="G325" s="8" t="n">
        <v>199709.5</v>
      </c>
      <c r="H325" s="0" t="n">
        <f aca="false">H324+F325-E325</f>
        <v>199709.499999992</v>
      </c>
      <c r="I325" s="10" t="n">
        <f aca="false">H325-G325</f>
        <v>-7.62520357966423E-009</v>
      </c>
    </row>
    <row r="326" customFormat="false" ht="15" hidden="false" customHeight="false" outlineLevel="0" collapsed="false">
      <c r="A326" s="11" t="n">
        <v>3</v>
      </c>
      <c r="B326" s="11" t="s">
        <v>71</v>
      </c>
      <c r="C326" s="12" t="s">
        <v>28</v>
      </c>
      <c r="D326" s="13"/>
      <c r="E326" s="14" t="n">
        <v>679.01</v>
      </c>
      <c r="F326" s="15"/>
      <c r="G326" s="14" t="n">
        <v>199030.49</v>
      </c>
      <c r="H326" s="0" t="n">
        <f aca="false">H325+F326-E326</f>
        <v>199030.489999992</v>
      </c>
      <c r="I326" s="10" t="n">
        <f aca="false">H326-G326</f>
        <v>-7.62520357966423E-009</v>
      </c>
    </row>
    <row r="327" customFormat="false" ht="15" hidden="false" customHeight="false" outlineLevel="0" collapsed="false">
      <c r="A327" s="5" t="n">
        <v>3</v>
      </c>
      <c r="B327" s="5" t="s">
        <v>71</v>
      </c>
      <c r="C327" s="6" t="s">
        <v>43</v>
      </c>
      <c r="D327" s="7"/>
      <c r="E327" s="8" t="n">
        <v>3939.11</v>
      </c>
      <c r="F327" s="9"/>
      <c r="G327" s="8" t="n">
        <v>195091.38</v>
      </c>
      <c r="H327" s="0" t="n">
        <f aca="false">H326+F327-E327</f>
        <v>195091.379999992</v>
      </c>
      <c r="I327" s="10" t="n">
        <f aca="false">H327-G327</f>
        <v>-7.62520357966423E-009</v>
      </c>
    </row>
    <row r="328" customFormat="false" ht="15" hidden="false" customHeight="false" outlineLevel="0" collapsed="false">
      <c r="A328" s="11" t="n">
        <v>3</v>
      </c>
      <c r="B328" s="11" t="s">
        <v>71</v>
      </c>
      <c r="C328" s="12" t="s">
        <v>43</v>
      </c>
      <c r="D328" s="13"/>
      <c r="E328" s="14" t="n">
        <v>5525.35</v>
      </c>
      <c r="F328" s="15"/>
      <c r="G328" s="14" t="n">
        <v>189566.03</v>
      </c>
      <c r="H328" s="0" t="n">
        <f aca="false">H327+F328-E328</f>
        <v>189566.029999992</v>
      </c>
      <c r="I328" s="10" t="n">
        <f aca="false">H328-G328</f>
        <v>-7.62520357966423E-009</v>
      </c>
    </row>
    <row r="329" customFormat="false" ht="15" hidden="false" customHeight="false" outlineLevel="0" collapsed="false">
      <c r="A329" s="5" t="n">
        <v>3</v>
      </c>
      <c r="B329" s="5" t="s">
        <v>71</v>
      </c>
      <c r="C329" s="6" t="s">
        <v>43</v>
      </c>
      <c r="D329" s="7"/>
      <c r="E329" s="8" t="n">
        <v>3233.39</v>
      </c>
      <c r="F329" s="9"/>
      <c r="G329" s="8" t="n">
        <v>186332.64</v>
      </c>
      <c r="H329" s="0" t="n">
        <f aca="false">H328+F329-E329</f>
        <v>186332.639999992</v>
      </c>
      <c r="I329" s="10" t="n">
        <f aca="false">H329-G329</f>
        <v>-7.65430741012096E-009</v>
      </c>
    </row>
    <row r="330" customFormat="false" ht="15" hidden="false" customHeight="false" outlineLevel="0" collapsed="false">
      <c r="A330" s="11" t="n">
        <v>3</v>
      </c>
      <c r="B330" s="11" t="s">
        <v>71</v>
      </c>
      <c r="C330" s="12" t="s">
        <v>13</v>
      </c>
      <c r="D330" s="13"/>
      <c r="E330" s="14" t="n">
        <v>23.63</v>
      </c>
      <c r="F330" s="15"/>
      <c r="G330" s="14" t="n">
        <v>186309.01</v>
      </c>
      <c r="H330" s="0" t="n">
        <f aca="false">H329+F330-E330</f>
        <v>186309.009999992</v>
      </c>
      <c r="I330" s="10" t="n">
        <f aca="false">H330-G330</f>
        <v>-7.65430741012096E-009</v>
      </c>
    </row>
    <row r="331" customFormat="false" ht="15" hidden="false" customHeight="false" outlineLevel="0" collapsed="false">
      <c r="A331" s="5" t="n">
        <v>3</v>
      </c>
      <c r="B331" s="5" t="s">
        <v>71</v>
      </c>
      <c r="C331" s="6" t="s">
        <v>13</v>
      </c>
      <c r="D331" s="7"/>
      <c r="E331" s="8" t="n">
        <v>4.96</v>
      </c>
      <c r="F331" s="9"/>
      <c r="G331" s="8" t="n">
        <v>186304.05</v>
      </c>
      <c r="H331" s="0" t="n">
        <f aca="false">H330+F331-E331</f>
        <v>186304.049999992</v>
      </c>
      <c r="I331" s="10" t="n">
        <f aca="false">H331-G331</f>
        <v>-7.62520357966423E-009</v>
      </c>
    </row>
    <row r="332" customFormat="false" ht="15" hidden="false" customHeight="false" outlineLevel="0" collapsed="false">
      <c r="A332" s="11" t="n">
        <v>3</v>
      </c>
      <c r="B332" s="11" t="s">
        <v>71</v>
      </c>
      <c r="C332" s="12" t="s">
        <v>13</v>
      </c>
      <c r="D332" s="13"/>
      <c r="E332" s="14" t="n">
        <v>0.71</v>
      </c>
      <c r="F332" s="15"/>
      <c r="G332" s="14" t="n">
        <v>186303.34</v>
      </c>
      <c r="H332" s="0" t="n">
        <f aca="false">H331+F332-E332</f>
        <v>186303.339999992</v>
      </c>
      <c r="I332" s="10" t="n">
        <f aca="false">H332-G332</f>
        <v>-7.62520357966423E-009</v>
      </c>
    </row>
    <row r="333" customFormat="false" ht="15" hidden="false" customHeight="false" outlineLevel="0" collapsed="false">
      <c r="A333" s="5" t="n">
        <v>3</v>
      </c>
      <c r="B333" s="5" t="s">
        <v>71</v>
      </c>
      <c r="C333" s="6" t="s">
        <v>13</v>
      </c>
      <c r="D333" s="7"/>
      <c r="E333" s="8" t="n">
        <v>33.15</v>
      </c>
      <c r="F333" s="9"/>
      <c r="G333" s="8" t="n">
        <v>186270.19</v>
      </c>
      <c r="H333" s="0" t="n">
        <f aca="false">H332+F333-E333</f>
        <v>186270.189999992</v>
      </c>
      <c r="I333" s="10" t="n">
        <f aca="false">H333-G333</f>
        <v>-7.62520357966423E-009</v>
      </c>
    </row>
    <row r="334" customFormat="false" ht="15" hidden="false" customHeight="false" outlineLevel="0" collapsed="false">
      <c r="A334" s="11" t="n">
        <v>3</v>
      </c>
      <c r="B334" s="11" t="s">
        <v>71</v>
      </c>
      <c r="C334" s="12" t="s">
        <v>13</v>
      </c>
      <c r="D334" s="13"/>
      <c r="E334" s="14" t="n">
        <v>6.96</v>
      </c>
      <c r="F334" s="15"/>
      <c r="G334" s="14" t="n">
        <v>186263.23</v>
      </c>
      <c r="H334" s="0" t="n">
        <f aca="false">H333+F334-E334</f>
        <v>186263.229999992</v>
      </c>
      <c r="I334" s="10" t="n">
        <f aca="false">H334-G334</f>
        <v>-7.62520357966423E-009</v>
      </c>
    </row>
    <row r="335" customFormat="false" ht="15" hidden="false" customHeight="false" outlineLevel="0" collapsed="false">
      <c r="A335" s="5" t="n">
        <v>3</v>
      </c>
      <c r="B335" s="5" t="s">
        <v>71</v>
      </c>
      <c r="C335" s="6" t="s">
        <v>13</v>
      </c>
      <c r="D335" s="7"/>
      <c r="E335" s="8" t="n">
        <v>0.99</v>
      </c>
      <c r="F335" s="9"/>
      <c r="G335" s="8" t="n">
        <v>186262.24</v>
      </c>
      <c r="H335" s="0" t="n">
        <f aca="false">H334+F335-E335</f>
        <v>186262.239999992</v>
      </c>
      <c r="I335" s="10" t="n">
        <f aca="false">H335-G335</f>
        <v>-7.5960997492075E-009</v>
      </c>
    </row>
    <row r="336" customFormat="false" ht="15" hidden="false" customHeight="false" outlineLevel="0" collapsed="false">
      <c r="A336" s="11" t="n">
        <v>3</v>
      </c>
      <c r="B336" s="11" t="s">
        <v>71</v>
      </c>
      <c r="C336" s="12" t="s">
        <v>13</v>
      </c>
      <c r="D336" s="13"/>
      <c r="E336" s="14" t="n">
        <v>19.4</v>
      </c>
      <c r="F336" s="15"/>
      <c r="G336" s="14" t="n">
        <v>186242.84</v>
      </c>
      <c r="H336" s="0" t="n">
        <f aca="false">H335+F336-E336</f>
        <v>186242.839999992</v>
      </c>
      <c r="I336" s="10" t="n">
        <f aca="false">H336-G336</f>
        <v>-7.5960997492075E-009</v>
      </c>
    </row>
    <row r="337" customFormat="false" ht="15" hidden="false" customHeight="false" outlineLevel="0" collapsed="false">
      <c r="A337" s="5" t="n">
        <v>3</v>
      </c>
      <c r="B337" s="5" t="s">
        <v>71</v>
      </c>
      <c r="C337" s="6" t="s">
        <v>13</v>
      </c>
      <c r="D337" s="7"/>
      <c r="E337" s="8" t="n">
        <v>4.07</v>
      </c>
      <c r="F337" s="9"/>
      <c r="G337" s="8" t="n">
        <v>186238.77</v>
      </c>
      <c r="H337" s="0" t="n">
        <f aca="false">H336+F337-E337</f>
        <v>186238.769999992</v>
      </c>
      <c r="I337" s="10" t="n">
        <f aca="false">H337-G337</f>
        <v>-7.5960997492075E-009</v>
      </c>
    </row>
    <row r="338" customFormat="false" ht="15" hidden="false" customHeight="false" outlineLevel="0" collapsed="false">
      <c r="A338" s="11" t="n">
        <v>3</v>
      </c>
      <c r="B338" s="11" t="s">
        <v>71</v>
      </c>
      <c r="C338" s="12" t="s">
        <v>13</v>
      </c>
      <c r="D338" s="13"/>
      <c r="E338" s="14" t="n">
        <v>0.58</v>
      </c>
      <c r="F338" s="15"/>
      <c r="G338" s="14" t="n">
        <v>186238.19</v>
      </c>
      <c r="H338" s="0" t="n">
        <f aca="false">H337+F338-E338</f>
        <v>186238.189999992</v>
      </c>
      <c r="I338" s="10" t="n">
        <f aca="false">H338-G338</f>
        <v>-7.5960997492075E-009</v>
      </c>
    </row>
    <row r="339" customFormat="false" ht="15" hidden="false" customHeight="false" outlineLevel="0" collapsed="false">
      <c r="A339" s="5" t="n">
        <v>3</v>
      </c>
      <c r="B339" s="5" t="s">
        <v>71</v>
      </c>
      <c r="C339" s="6" t="s">
        <v>14</v>
      </c>
      <c r="D339" s="7"/>
      <c r="E339" s="8" t="n">
        <v>4005.87</v>
      </c>
      <c r="F339" s="9"/>
      <c r="G339" s="8" t="n">
        <v>182232.32</v>
      </c>
      <c r="H339" s="0" t="n">
        <f aca="false">H338+F339-E339</f>
        <v>182232.319999992</v>
      </c>
      <c r="I339" s="10" t="n">
        <f aca="false">H339-G339</f>
        <v>-7.5960997492075E-009</v>
      </c>
    </row>
    <row r="340" customFormat="false" ht="15" hidden="false" customHeight="false" outlineLevel="0" collapsed="false">
      <c r="A340" s="11" t="n">
        <v>3</v>
      </c>
      <c r="B340" s="11" t="s">
        <v>71</v>
      </c>
      <c r="C340" s="12" t="s">
        <v>14</v>
      </c>
      <c r="D340" s="13"/>
      <c r="E340" s="14" t="n">
        <v>857.85</v>
      </c>
      <c r="F340" s="15"/>
      <c r="G340" s="14" t="n">
        <v>181374.47</v>
      </c>
      <c r="H340" s="0" t="n">
        <f aca="false">H339+F340-E340</f>
        <v>181374.469999992</v>
      </c>
      <c r="I340" s="10" t="n">
        <f aca="false">H340-G340</f>
        <v>-7.5960997492075E-009</v>
      </c>
    </row>
    <row r="341" customFormat="false" ht="15" hidden="false" customHeight="false" outlineLevel="0" collapsed="false">
      <c r="A341" s="5" t="n">
        <v>3</v>
      </c>
      <c r="B341" s="5" t="s">
        <v>71</v>
      </c>
      <c r="C341" s="6" t="s">
        <v>14</v>
      </c>
      <c r="D341" s="7"/>
      <c r="E341" s="8" t="n">
        <v>902.4</v>
      </c>
      <c r="F341" s="9"/>
      <c r="G341" s="8" t="n">
        <v>180472.07</v>
      </c>
      <c r="H341" s="0" t="n">
        <f aca="false">H340+F341-E341</f>
        <v>180472.069999992</v>
      </c>
      <c r="I341" s="10" t="n">
        <f aca="false">H341-G341</f>
        <v>-7.5960997492075E-009</v>
      </c>
    </row>
    <row r="342" customFormat="false" ht="15" hidden="false" customHeight="false" outlineLevel="0" collapsed="false">
      <c r="A342" s="11" t="n">
        <v>3</v>
      </c>
      <c r="B342" s="11" t="s">
        <v>71</v>
      </c>
      <c r="C342" s="12" t="s">
        <v>14</v>
      </c>
      <c r="D342" s="13"/>
      <c r="E342" s="14" t="n">
        <v>5619</v>
      </c>
      <c r="F342" s="15"/>
      <c r="G342" s="14" t="n">
        <v>174853.07</v>
      </c>
      <c r="H342" s="0" t="n">
        <f aca="false">H341+F342-E342</f>
        <v>174853.069999992</v>
      </c>
      <c r="I342" s="10" t="n">
        <f aca="false">H342-G342</f>
        <v>-7.5960997492075E-009</v>
      </c>
    </row>
    <row r="343" customFormat="false" ht="15" hidden="false" customHeight="false" outlineLevel="0" collapsed="false">
      <c r="A343" s="5" t="n">
        <v>3</v>
      </c>
      <c r="B343" s="5" t="s">
        <v>71</v>
      </c>
      <c r="C343" s="6" t="s">
        <v>14</v>
      </c>
      <c r="D343" s="7"/>
      <c r="E343" s="8" t="n">
        <v>3288.19</v>
      </c>
      <c r="F343" s="9"/>
      <c r="G343" s="8" t="n">
        <v>171564.88</v>
      </c>
      <c r="H343" s="0" t="n">
        <f aca="false">H342+F343-E343</f>
        <v>171564.879999992</v>
      </c>
      <c r="I343" s="10" t="n">
        <f aca="false">H343-G343</f>
        <v>-7.5960997492075E-009</v>
      </c>
    </row>
    <row r="344" customFormat="false" ht="15" hidden="false" customHeight="false" outlineLevel="0" collapsed="false">
      <c r="A344" s="11" t="n">
        <v>3</v>
      </c>
      <c r="B344" s="11" t="s">
        <v>71</v>
      </c>
      <c r="C344" s="12" t="s">
        <v>44</v>
      </c>
      <c r="D344" s="13"/>
      <c r="E344" s="15"/>
      <c r="F344" s="14" t="n">
        <v>667645</v>
      </c>
      <c r="G344" s="14" t="n">
        <v>839209.88</v>
      </c>
      <c r="H344" s="0" t="n">
        <f aca="false">H343+F344-E344</f>
        <v>839209.879999992</v>
      </c>
      <c r="I344" s="10" t="n">
        <f aca="false">H344-G344</f>
        <v>-7.56699591875076E-009</v>
      </c>
    </row>
    <row r="345" customFormat="false" ht="15" hidden="false" customHeight="false" outlineLevel="0" collapsed="false">
      <c r="A345" s="5" t="n">
        <v>3</v>
      </c>
      <c r="B345" s="5" t="s">
        <v>71</v>
      </c>
      <c r="C345" s="6" t="s">
        <v>44</v>
      </c>
      <c r="D345" s="7"/>
      <c r="E345" s="9"/>
      <c r="F345" s="8" t="n">
        <v>936500</v>
      </c>
      <c r="G345" s="8" t="n">
        <v>1775709.88</v>
      </c>
      <c r="H345" s="0" t="n">
        <f aca="false">H344+F345-E345</f>
        <v>1775709.87999999</v>
      </c>
      <c r="I345" s="10" t="n">
        <f aca="false">H345-G345</f>
        <v>-7.45058059692383E-009</v>
      </c>
    </row>
    <row r="346" customFormat="false" ht="15" hidden="false" customHeight="false" outlineLevel="0" collapsed="false">
      <c r="A346" s="11" t="n">
        <v>3</v>
      </c>
      <c r="B346" s="11" t="s">
        <v>71</v>
      </c>
      <c r="C346" s="12" t="s">
        <v>44</v>
      </c>
      <c r="D346" s="13"/>
      <c r="E346" s="15"/>
      <c r="F346" s="14" t="n">
        <v>548031.6</v>
      </c>
      <c r="G346" s="14" t="n">
        <v>2323741.48</v>
      </c>
      <c r="H346" s="0" t="n">
        <f aca="false">H345+F346-E346</f>
        <v>2323741.47999999</v>
      </c>
      <c r="I346" s="10" t="n">
        <f aca="false">H346-G346</f>
        <v>0</v>
      </c>
    </row>
    <row r="347" customFormat="false" ht="15" hidden="false" customHeight="false" outlineLevel="0" collapsed="false">
      <c r="A347" s="5" t="n">
        <v>3</v>
      </c>
      <c r="B347" s="5" t="s">
        <v>71</v>
      </c>
      <c r="C347" s="6" t="s">
        <v>72</v>
      </c>
      <c r="D347" s="7"/>
      <c r="E347" s="9"/>
      <c r="F347" s="8" t="n">
        <v>142975.72</v>
      </c>
      <c r="G347" s="8" t="n">
        <v>2466717.2</v>
      </c>
      <c r="H347" s="0" t="n">
        <f aca="false">H346+F347-E347</f>
        <v>2466717.19999999</v>
      </c>
      <c r="I347" s="10" t="n">
        <f aca="false">H347-G347</f>
        <v>0</v>
      </c>
    </row>
    <row r="348" customFormat="false" ht="15" hidden="false" customHeight="false" outlineLevel="0" collapsed="false">
      <c r="A348" s="11" t="n">
        <v>3</v>
      </c>
      <c r="B348" s="11" t="s">
        <v>71</v>
      </c>
      <c r="C348" s="12" t="s">
        <v>72</v>
      </c>
      <c r="D348" s="13"/>
      <c r="E348" s="15"/>
      <c r="F348" s="14" t="n">
        <v>150400</v>
      </c>
      <c r="G348" s="14" t="n">
        <v>2617117.2</v>
      </c>
      <c r="H348" s="0" t="n">
        <f aca="false">H347+F348-E348</f>
        <v>2617117.19999999</v>
      </c>
      <c r="I348" s="10" t="n">
        <f aca="false">H348-G348</f>
        <v>0</v>
      </c>
    </row>
    <row r="349" customFormat="false" ht="15" hidden="false" customHeight="false" outlineLevel="0" collapsed="false">
      <c r="A349" s="5" t="n">
        <v>3</v>
      </c>
      <c r="B349" s="5" t="s">
        <v>73</v>
      </c>
      <c r="C349" s="6" t="s">
        <v>28</v>
      </c>
      <c r="D349" s="7"/>
      <c r="E349" s="8" t="n">
        <v>218424.82</v>
      </c>
      <c r="F349" s="9"/>
      <c r="G349" s="8" t="n">
        <v>2398692.38</v>
      </c>
      <c r="H349" s="0" t="n">
        <f aca="false">H348+F349-E349</f>
        <v>2398692.37999999</v>
      </c>
      <c r="I349" s="10" t="n">
        <f aca="false">H349-G349</f>
        <v>0</v>
      </c>
    </row>
    <row r="350" customFormat="false" ht="15" hidden="false" customHeight="false" outlineLevel="0" collapsed="false">
      <c r="A350" s="11" t="n">
        <v>3</v>
      </c>
      <c r="B350" s="11" t="s">
        <v>73</v>
      </c>
      <c r="C350" s="12" t="s">
        <v>13</v>
      </c>
      <c r="D350" s="13"/>
      <c r="E350" s="14" t="n">
        <v>1310.55</v>
      </c>
      <c r="F350" s="15"/>
      <c r="G350" s="14" t="n">
        <v>2397381.83</v>
      </c>
      <c r="H350" s="0" t="n">
        <f aca="false">H349+F350-E350</f>
        <v>2397381.82999999</v>
      </c>
      <c r="I350" s="10" t="n">
        <f aca="false">H350-G350</f>
        <v>0</v>
      </c>
    </row>
    <row r="351" customFormat="false" ht="15" hidden="false" customHeight="false" outlineLevel="0" collapsed="false">
      <c r="A351" s="5" t="n">
        <v>3</v>
      </c>
      <c r="B351" s="5" t="s">
        <v>73</v>
      </c>
      <c r="C351" s="6" t="s">
        <v>13</v>
      </c>
      <c r="D351" s="7"/>
      <c r="E351" s="8" t="n">
        <v>6240.71</v>
      </c>
      <c r="F351" s="9"/>
      <c r="G351" s="8" t="n">
        <v>2391141.12</v>
      </c>
      <c r="H351" s="0" t="n">
        <f aca="false">H350+F351-E351</f>
        <v>2391141.11999999</v>
      </c>
      <c r="I351" s="10" t="n">
        <f aca="false">H351-G351</f>
        <v>0</v>
      </c>
    </row>
    <row r="352" customFormat="false" ht="15" hidden="false" customHeight="false" outlineLevel="0" collapsed="false">
      <c r="A352" s="11" t="n">
        <v>3</v>
      </c>
      <c r="B352" s="11" t="s">
        <v>73</v>
      </c>
      <c r="C352" s="12" t="s">
        <v>74</v>
      </c>
      <c r="D352" s="13"/>
      <c r="E352" s="14" t="n">
        <v>1040118.21</v>
      </c>
      <c r="F352" s="15"/>
      <c r="G352" s="14" t="n">
        <v>1351022.91</v>
      </c>
      <c r="H352" s="0" t="n">
        <f aca="false">H351+F352-E352</f>
        <v>1351022.90999999</v>
      </c>
      <c r="I352" s="10" t="n">
        <f aca="false">H352-G352</f>
        <v>-6.75208866596222E-009</v>
      </c>
    </row>
    <row r="353" customFormat="false" ht="15" hidden="false" customHeight="false" outlineLevel="0" collapsed="false">
      <c r="A353" s="5" t="n">
        <v>3</v>
      </c>
      <c r="B353" s="5" t="s">
        <v>75</v>
      </c>
      <c r="C353" s="6" t="s">
        <v>27</v>
      </c>
      <c r="D353" s="7"/>
      <c r="E353" s="8" t="n">
        <v>1077</v>
      </c>
      <c r="F353" s="9"/>
      <c r="G353" s="8" t="n">
        <v>1349945.91</v>
      </c>
      <c r="H353" s="0" t="n">
        <f aca="false">H352+F353-E353</f>
        <v>1349945.90999999</v>
      </c>
      <c r="I353" s="10" t="n">
        <f aca="false">H353-G353</f>
        <v>-6.75208866596222E-009</v>
      </c>
    </row>
    <row r="354" customFormat="false" ht="15" hidden="false" customHeight="false" outlineLevel="0" collapsed="false">
      <c r="A354" s="11" t="n">
        <v>3</v>
      </c>
      <c r="B354" s="11" t="s">
        <v>75</v>
      </c>
      <c r="C354" s="12" t="s">
        <v>28</v>
      </c>
      <c r="D354" s="13"/>
      <c r="E354" s="14" t="n">
        <v>7539</v>
      </c>
      <c r="F354" s="15"/>
      <c r="G354" s="14" t="n">
        <v>1342406.91</v>
      </c>
      <c r="H354" s="0" t="n">
        <f aca="false">H353+F354-E354</f>
        <v>1342406.90999999</v>
      </c>
      <c r="I354" s="10" t="n">
        <f aca="false">H354-G354</f>
        <v>-6.75208866596222E-009</v>
      </c>
    </row>
    <row r="355" customFormat="false" ht="15" hidden="false" customHeight="false" outlineLevel="0" collapsed="false">
      <c r="A355" s="5" t="n">
        <v>3</v>
      </c>
      <c r="B355" s="5" t="s">
        <v>75</v>
      </c>
      <c r="C355" s="6" t="s">
        <v>29</v>
      </c>
      <c r="D355" s="7"/>
      <c r="E355" s="8" t="n">
        <v>35900</v>
      </c>
      <c r="F355" s="9"/>
      <c r="G355" s="8" t="n">
        <v>1306506.91</v>
      </c>
      <c r="H355" s="0" t="n">
        <f aca="false">H354+F355-E355</f>
        <v>1306506.90999999</v>
      </c>
      <c r="I355" s="10" t="n">
        <f aca="false">H355-G355</f>
        <v>-6.75208866596222E-009</v>
      </c>
    </row>
    <row r="356" customFormat="false" ht="15" hidden="false" customHeight="false" outlineLevel="0" collapsed="false">
      <c r="A356" s="11" t="n">
        <v>3</v>
      </c>
      <c r="B356" s="11" t="s">
        <v>75</v>
      </c>
      <c r="C356" s="12" t="s">
        <v>13</v>
      </c>
      <c r="D356" s="13"/>
      <c r="E356" s="14" t="n">
        <v>215.4</v>
      </c>
      <c r="F356" s="15"/>
      <c r="G356" s="14" t="n">
        <v>1306291.51</v>
      </c>
      <c r="H356" s="0" t="n">
        <f aca="false">H355+F356-E356</f>
        <v>1306291.50999999</v>
      </c>
      <c r="I356" s="10" t="n">
        <f aca="false">H356-G356</f>
        <v>-6.75208866596222E-009</v>
      </c>
    </row>
    <row r="357" customFormat="false" ht="15" hidden="false" customHeight="false" outlineLevel="0" collapsed="false">
      <c r="A357" s="5" t="n">
        <v>3</v>
      </c>
      <c r="B357" s="5" t="s">
        <v>75</v>
      </c>
      <c r="C357" s="6" t="s">
        <v>13</v>
      </c>
      <c r="D357" s="7"/>
      <c r="E357" s="8" t="n">
        <v>45.23</v>
      </c>
      <c r="F357" s="9"/>
      <c r="G357" s="8" t="n">
        <v>1306246.28</v>
      </c>
      <c r="H357" s="0" t="n">
        <f aca="false">H356+F357-E357</f>
        <v>1306246.27999999</v>
      </c>
      <c r="I357" s="10" t="n">
        <f aca="false">H357-G357</f>
        <v>-6.75208866596222E-009</v>
      </c>
    </row>
    <row r="358" customFormat="false" ht="15" hidden="false" customHeight="false" outlineLevel="0" collapsed="false">
      <c r="A358" s="11" t="n">
        <v>3</v>
      </c>
      <c r="B358" s="11" t="s">
        <v>75</v>
      </c>
      <c r="C358" s="12" t="s">
        <v>13</v>
      </c>
      <c r="D358" s="13"/>
      <c r="E358" s="14" t="n">
        <v>6.46</v>
      </c>
      <c r="F358" s="15"/>
      <c r="G358" s="14" t="n">
        <v>1306239.82</v>
      </c>
      <c r="H358" s="0" t="n">
        <f aca="false">H357+F358-E358</f>
        <v>1306239.81999999</v>
      </c>
      <c r="I358" s="10" t="n">
        <f aca="false">H358-G358</f>
        <v>-6.75208866596222E-009</v>
      </c>
    </row>
    <row r="359" customFormat="false" ht="15" hidden="false" customHeight="false" outlineLevel="0" collapsed="false">
      <c r="A359" s="5" t="n">
        <v>4</v>
      </c>
      <c r="B359" s="5" t="s">
        <v>76</v>
      </c>
      <c r="C359" s="6" t="s">
        <v>27</v>
      </c>
      <c r="D359" s="7"/>
      <c r="E359" s="8" t="n">
        <v>1230</v>
      </c>
      <c r="F359" s="9"/>
      <c r="G359" s="8" t="n">
        <v>1305009.82</v>
      </c>
      <c r="H359" s="0" t="n">
        <f aca="false">H358+F359-E359</f>
        <v>1305009.81999999</v>
      </c>
      <c r="I359" s="10" t="n">
        <f aca="false">H359-G359</f>
        <v>-6.75208866596222E-009</v>
      </c>
    </row>
    <row r="360" customFormat="false" ht="15" hidden="false" customHeight="false" outlineLevel="0" collapsed="false">
      <c r="A360" s="11" t="n">
        <v>4</v>
      </c>
      <c r="B360" s="11" t="s">
        <v>76</v>
      </c>
      <c r="C360" s="12" t="s">
        <v>28</v>
      </c>
      <c r="D360" s="13"/>
      <c r="E360" s="14" t="n">
        <v>8610</v>
      </c>
      <c r="F360" s="15"/>
      <c r="G360" s="14" t="n">
        <v>1296399.82</v>
      </c>
      <c r="H360" s="0" t="n">
        <f aca="false">H359+F360-E360</f>
        <v>1296399.81999999</v>
      </c>
      <c r="I360" s="10" t="n">
        <f aca="false">H360-G360</f>
        <v>-6.75208866596222E-009</v>
      </c>
    </row>
    <row r="361" customFormat="false" ht="15" hidden="false" customHeight="false" outlineLevel="0" collapsed="false">
      <c r="A361" s="5" t="n">
        <v>4</v>
      </c>
      <c r="B361" s="5" t="s">
        <v>76</v>
      </c>
      <c r="C361" s="6" t="s">
        <v>29</v>
      </c>
      <c r="D361" s="7"/>
      <c r="E361" s="8" t="n">
        <v>41000</v>
      </c>
      <c r="F361" s="9"/>
      <c r="G361" s="8" t="n">
        <v>1255399.82</v>
      </c>
      <c r="H361" s="0" t="n">
        <f aca="false">H360+F361-E361</f>
        <v>1255399.81999999</v>
      </c>
      <c r="I361" s="10" t="n">
        <f aca="false">H361-G361</f>
        <v>-6.75208866596222E-009</v>
      </c>
    </row>
    <row r="362" customFormat="false" ht="15" hidden="false" customHeight="false" outlineLevel="0" collapsed="false">
      <c r="A362" s="11" t="n">
        <v>4</v>
      </c>
      <c r="B362" s="11" t="s">
        <v>76</v>
      </c>
      <c r="C362" s="12" t="s">
        <v>13</v>
      </c>
      <c r="D362" s="13"/>
      <c r="E362" s="14" t="n">
        <v>246</v>
      </c>
      <c r="F362" s="15"/>
      <c r="G362" s="14" t="n">
        <v>1255153.82</v>
      </c>
      <c r="H362" s="0" t="n">
        <f aca="false">H361+F362-E362</f>
        <v>1255153.81999999</v>
      </c>
      <c r="I362" s="10" t="n">
        <f aca="false">H362-G362</f>
        <v>-6.75208866596222E-009</v>
      </c>
    </row>
    <row r="363" customFormat="false" ht="15" hidden="false" customHeight="false" outlineLevel="0" collapsed="false">
      <c r="A363" s="5" t="n">
        <v>4</v>
      </c>
      <c r="B363" s="5" t="s">
        <v>76</v>
      </c>
      <c r="C363" s="6" t="s">
        <v>13</v>
      </c>
      <c r="D363" s="7"/>
      <c r="E363" s="8" t="n">
        <v>51.66</v>
      </c>
      <c r="F363" s="9"/>
      <c r="G363" s="8" t="n">
        <v>1255102.16</v>
      </c>
      <c r="H363" s="0" t="n">
        <f aca="false">H362+F363-E363</f>
        <v>1255102.15999999</v>
      </c>
      <c r="I363" s="10" t="n">
        <f aca="false">H363-G363</f>
        <v>-6.51925802230835E-009</v>
      </c>
    </row>
    <row r="364" customFormat="false" ht="15" hidden="false" customHeight="false" outlineLevel="0" collapsed="false">
      <c r="A364" s="11" t="n">
        <v>4</v>
      </c>
      <c r="B364" s="11" t="s">
        <v>76</v>
      </c>
      <c r="C364" s="12" t="s">
        <v>13</v>
      </c>
      <c r="D364" s="13"/>
      <c r="E364" s="14" t="n">
        <v>7.38</v>
      </c>
      <c r="F364" s="15"/>
      <c r="G364" s="14" t="n">
        <v>1255094.78</v>
      </c>
      <c r="H364" s="0" t="n">
        <f aca="false">H363+F364-E364</f>
        <v>1255094.77999999</v>
      </c>
      <c r="I364" s="10" t="n">
        <f aca="false">H364-G364</f>
        <v>-6.51925802230835E-009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2026-05-26T18:13:40Z</dcterms:created>
  <dc:creator>openpyxl</dc:creator>
  <dc:description/>
  <dc:language>es-ES</dc:language>
  <cp:lastModifiedBy/>
  <dcterms:modified xsi:type="dcterms:W3CDTF">2026-05-26T15:16:05Z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